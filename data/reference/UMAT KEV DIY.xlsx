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Dewan Paroki Pugeran\"/>
    </mc:Choice>
  </mc:AlternateContent>
  <bookViews>
    <workbookView xWindow="240" yWindow="30" windowWidth="20055" windowHeight="7680" activeTab="1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S39" i="1" l="1"/>
  <c r="R39" i="1"/>
  <c r="Q39" i="1"/>
  <c r="P39" i="1"/>
  <c r="O39" i="1"/>
  <c r="N39" i="1"/>
  <c r="M39" i="1"/>
  <c r="J39" i="1"/>
  <c r="I39" i="1"/>
  <c r="H39" i="1"/>
  <c r="G39" i="1"/>
  <c r="F39" i="1"/>
  <c r="D39" i="1"/>
  <c r="C39" i="1"/>
  <c r="T38" i="1"/>
  <c r="L38" i="1"/>
  <c r="U38" i="1" s="1"/>
  <c r="E38" i="1"/>
  <c r="T37" i="1"/>
  <c r="L37" i="1"/>
  <c r="U37" i="1" s="1"/>
  <c r="T36" i="1"/>
  <c r="L36" i="1"/>
  <c r="T35" i="1"/>
  <c r="L35" i="1"/>
  <c r="U35" i="1" s="1"/>
  <c r="T34" i="1"/>
  <c r="L34" i="1"/>
  <c r="T33" i="1"/>
  <c r="L33" i="1"/>
  <c r="U33" i="1" s="1"/>
  <c r="T32" i="1"/>
  <c r="L32" i="1"/>
  <c r="T31" i="1"/>
  <c r="L31" i="1"/>
  <c r="U31" i="1" s="1"/>
  <c r="E31" i="1"/>
  <c r="T30" i="1"/>
  <c r="L30" i="1"/>
  <c r="T29" i="1"/>
  <c r="L29" i="1"/>
  <c r="U29" i="1" s="1"/>
  <c r="E29" i="1"/>
  <c r="T28" i="1"/>
  <c r="L28" i="1"/>
  <c r="U28" i="1" s="1"/>
  <c r="E28" i="1"/>
  <c r="T27" i="1"/>
  <c r="L27" i="1"/>
  <c r="E27" i="1"/>
  <c r="T26" i="1"/>
  <c r="K26" i="1"/>
  <c r="K39" i="1" s="1"/>
  <c r="E26" i="1"/>
  <c r="T25" i="1"/>
  <c r="L25" i="1"/>
  <c r="U25" i="1" s="1"/>
  <c r="T24" i="1"/>
  <c r="L24" i="1"/>
  <c r="T23" i="1"/>
  <c r="L23" i="1"/>
  <c r="U23" i="1" s="1"/>
  <c r="T22" i="1"/>
  <c r="L22" i="1"/>
  <c r="E22" i="1"/>
  <c r="T21" i="1"/>
  <c r="L21" i="1"/>
  <c r="T20" i="1"/>
  <c r="L20" i="1"/>
  <c r="U20" i="1" s="1"/>
  <c r="E20" i="1"/>
  <c r="T19" i="1"/>
  <c r="L19" i="1"/>
  <c r="E19" i="1"/>
  <c r="T18" i="1"/>
  <c r="L18" i="1"/>
  <c r="T17" i="1"/>
  <c r="L17" i="1"/>
  <c r="U17" i="1" s="1"/>
  <c r="T16" i="1"/>
  <c r="L16" i="1"/>
  <c r="E16" i="1"/>
  <c r="T15" i="1"/>
  <c r="L15" i="1"/>
  <c r="U15" i="1" s="1"/>
  <c r="T14" i="1"/>
  <c r="L14" i="1"/>
  <c r="T13" i="1"/>
  <c r="L13" i="1"/>
  <c r="U13" i="1" s="1"/>
  <c r="E13" i="1"/>
  <c r="T12" i="1"/>
  <c r="L12" i="1"/>
  <c r="U12" i="1" s="1"/>
  <c r="T11" i="1"/>
  <c r="L11" i="1"/>
  <c r="T10" i="1"/>
  <c r="L10" i="1"/>
  <c r="U10" i="1" s="1"/>
  <c r="E10" i="1"/>
  <c r="E39" i="1" s="1"/>
  <c r="T9" i="1"/>
  <c r="L9" i="1"/>
  <c r="T8" i="1"/>
  <c r="L8" i="1"/>
  <c r="U8" i="1" s="1"/>
  <c r="T7" i="1"/>
  <c r="L7" i="1"/>
  <c r="T6" i="1"/>
  <c r="L6" i="1"/>
  <c r="T39" i="1" l="1"/>
  <c r="U7" i="1"/>
  <c r="U9" i="1"/>
  <c r="U14" i="1"/>
  <c r="U19" i="1"/>
  <c r="U22" i="1"/>
  <c r="U24" i="1"/>
  <c r="U27" i="1"/>
  <c r="U30" i="1"/>
  <c r="U11" i="1"/>
  <c r="U16" i="1"/>
  <c r="U18" i="1"/>
  <c r="U21" i="1"/>
  <c r="U32" i="1"/>
  <c r="U34" i="1"/>
  <c r="U36" i="1"/>
  <c r="U6" i="1"/>
  <c r="L26" i="1"/>
  <c r="U26" i="1" s="1"/>
  <c r="L39" i="1" l="1"/>
  <c r="U39" i="1"/>
</calcChain>
</file>

<file path=xl/sharedStrings.xml><?xml version="1.0" encoding="utf-8"?>
<sst xmlns="http://schemas.openxmlformats.org/spreadsheetml/2006/main" count="81" uniqueCount="70">
  <si>
    <t>PERKEMBANGAN UMAT KATOLIK KEVIKEPAN DAERAH ISTIMEWA YOGYAKARTA  [DIY]</t>
  </si>
  <si>
    <t>No.</t>
  </si>
  <si>
    <t>Nama Paroki</t>
  </si>
  <si>
    <t>Umat Akhir Tahun 2013</t>
  </si>
  <si>
    <t>Laporan</t>
  </si>
  <si>
    <t>Selisih</t>
  </si>
  <si>
    <t>Pembaptisan</t>
  </si>
  <si>
    <t>Diterima dari:</t>
  </si>
  <si>
    <t>Jumlah</t>
  </si>
  <si>
    <t>Kematian</t>
  </si>
  <si>
    <t>Keluar ke:</t>
  </si>
  <si>
    <t>Umat Akhir Th. 2014</t>
  </si>
  <si>
    <t>Paroki</t>
  </si>
  <si>
    <t>akhir '13</t>
  </si>
  <si>
    <t>0 - 7 Tahun</t>
  </si>
  <si>
    <t>7 Tahun ke atas</t>
  </si>
  <si>
    <t>Kristen</t>
  </si>
  <si>
    <t>Pertam-</t>
  </si>
  <si>
    <t>7 th. Ke bawah</t>
  </si>
  <si>
    <t>7 th. Ke atas</t>
  </si>
  <si>
    <t>Pindah</t>
  </si>
  <si>
    <t>Lain2</t>
  </si>
  <si>
    <t>Pengu-</t>
  </si>
  <si>
    <t>awal  2014</t>
  </si>
  <si>
    <t>awal '14</t>
  </si>
  <si>
    <t>Pria</t>
  </si>
  <si>
    <t>Wanita</t>
  </si>
  <si>
    <t xml:space="preserve">Pria </t>
  </si>
  <si>
    <t>lain</t>
  </si>
  <si>
    <t>bahan</t>
  </si>
  <si>
    <t>agama</t>
  </si>
  <si>
    <t>rangan</t>
  </si>
  <si>
    <t xml:space="preserve"> Babadan   </t>
  </si>
  <si>
    <t xml:space="preserve"> Babarsari</t>
  </si>
  <si>
    <t xml:space="preserve"> Baciro       </t>
  </si>
  <si>
    <t xml:space="preserve"> Banteng</t>
  </si>
  <si>
    <t xml:space="preserve"> Bantul</t>
  </si>
  <si>
    <t xml:space="preserve"> Bintaran</t>
  </si>
  <si>
    <t xml:space="preserve"> *  Pringgolayan</t>
  </si>
  <si>
    <t xml:space="preserve"> Boro       </t>
  </si>
  <si>
    <t xml:space="preserve"> Gamping     </t>
  </si>
  <si>
    <t xml:space="preserve"> Ganjuran     </t>
  </si>
  <si>
    <t xml:space="preserve"> Jetis            </t>
  </si>
  <si>
    <t xml:space="preserve"> Nandan    </t>
  </si>
  <si>
    <t xml:space="preserve"> Kalasan      </t>
  </si>
  <si>
    <t xml:space="preserve"> Kelor</t>
  </si>
  <si>
    <t xml:space="preserve"> Kidul Loji  </t>
  </si>
  <si>
    <t xml:space="preserve"> Klepu          </t>
  </si>
  <si>
    <t xml:space="preserve"> Kotabaru  </t>
  </si>
  <si>
    <t xml:space="preserve"> Kumetiran     </t>
  </si>
  <si>
    <t xml:space="preserve"> Medari          </t>
  </si>
  <si>
    <t xml:space="preserve"> Minomartani </t>
  </si>
  <si>
    <t xml:space="preserve"> Mlati      </t>
  </si>
  <si>
    <t xml:space="preserve"> Nanggulan   </t>
  </si>
  <si>
    <t xml:space="preserve"> *  Pelem Dukuh </t>
  </si>
  <si>
    <t xml:space="preserve"> Pakem</t>
  </si>
  <si>
    <t xml:space="preserve"> Pangkalan</t>
  </si>
  <si>
    <t xml:space="preserve"> Pringwulung   </t>
  </si>
  <si>
    <t xml:space="preserve"> Promasan </t>
  </si>
  <si>
    <t xml:space="preserve"> Pugeran     </t>
  </si>
  <si>
    <t xml:space="preserve"> Sedayu   </t>
  </si>
  <si>
    <t xml:space="preserve"> Somohitan</t>
  </si>
  <si>
    <t xml:space="preserve"> Wates       </t>
  </si>
  <si>
    <t xml:space="preserve"> Wonosari    </t>
  </si>
  <si>
    <t xml:space="preserve"> Bandung  [kuasi]</t>
  </si>
  <si>
    <t>Catatan:</t>
  </si>
  <si>
    <t>Lingkungan</t>
  </si>
  <si>
    <t>Jumlah KK</t>
  </si>
  <si>
    <t>Jumlah Umat Laki-Laki</t>
  </si>
  <si>
    <t>Jumlah Umat 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</si>
</sst>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sz val="8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2">
    <xf numFmtId="0" fontId="0" fillId="0" borderId="0" xfId="0"/>
    <xf numFmtId="0" fontId="2" fillId="2" borderId="0" xfId="0" applyFont="1" applyFill="1" applyAlignment="1" applyProtection="1">
      <alignment vertical="center"/>
    </xf>
    <xf numFmtId="0" fontId="3" fillId="2" borderId="0" xfId="0" applyFont="1" applyFill="1" applyAlignment="1" applyProtection="1">
      <alignment vertical="center"/>
    </xf>
    <xf numFmtId="0" fontId="4" fillId="2" borderId="0" xfId="0" quotePrefix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5" fillId="2" borderId="13" xfId="0" applyFont="1" applyFill="1" applyBorder="1" applyAlignment="1" applyProtection="1">
      <alignment horizontal="center" vertical="center"/>
    </xf>
    <xf numFmtId="0" fontId="3" fillId="2" borderId="17" xfId="0" applyFont="1" applyFill="1" applyBorder="1" applyAlignment="1" applyProtection="1">
      <alignment vertical="center"/>
    </xf>
    <xf numFmtId="0" fontId="3" fillId="2" borderId="13" xfId="0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 applyProtection="1">
      <alignment vertical="center"/>
    </xf>
    <xf numFmtId="0" fontId="3" fillId="2" borderId="17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horizontal="center" vertical="center"/>
    </xf>
    <xf numFmtId="0" fontId="5" fillId="2" borderId="25" xfId="0" applyFont="1" applyFill="1" applyBorder="1" applyAlignment="1" applyProtection="1">
      <alignment horizontal="center" vertical="center"/>
    </xf>
    <xf numFmtId="0" fontId="5" fillId="2" borderId="24" xfId="0" applyFont="1" applyFill="1" applyBorder="1" applyAlignment="1" applyProtection="1">
      <alignment horizontal="center" vertical="center"/>
    </xf>
    <xf numFmtId="0" fontId="3" fillId="2" borderId="26" xfId="0" applyFont="1" applyFill="1" applyBorder="1" applyAlignment="1" applyProtection="1">
      <alignment horizontal="center" vertical="center"/>
    </xf>
    <xf numFmtId="0" fontId="3" fillId="2" borderId="27" xfId="0" applyFont="1" applyFill="1" applyBorder="1" applyAlignment="1" applyProtection="1">
      <alignment horizontal="center" vertical="center"/>
    </xf>
    <xf numFmtId="0" fontId="3" fillId="2" borderId="28" xfId="0" applyFont="1" applyFill="1" applyBorder="1" applyAlignment="1" applyProtection="1">
      <alignment horizontal="center" vertical="center"/>
    </xf>
    <xf numFmtId="0" fontId="3" fillId="2" borderId="29" xfId="0" applyFont="1" applyFill="1" applyBorder="1" applyAlignment="1" applyProtection="1">
      <alignment horizontal="center" vertical="center"/>
    </xf>
    <xf numFmtId="0" fontId="3" fillId="2" borderId="24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3" fillId="2" borderId="31" xfId="0" applyFont="1" applyFill="1" applyBorder="1" applyAlignment="1" applyProtection="1">
      <alignment horizontal="left" vertical="center"/>
    </xf>
    <xf numFmtId="0" fontId="3" fillId="2" borderId="32" xfId="0" applyFont="1" applyFill="1" applyBorder="1" applyAlignment="1" applyProtection="1">
      <alignment vertical="center"/>
    </xf>
    <xf numFmtId="164" fontId="6" fillId="3" borderId="33" xfId="1" applyFont="1" applyFill="1" applyBorder="1" applyAlignment="1" applyProtection="1">
      <alignment vertical="center"/>
    </xf>
    <xf numFmtId="164" fontId="6" fillId="2" borderId="34" xfId="1" applyFont="1" applyFill="1" applyBorder="1" applyAlignment="1" applyProtection="1">
      <alignment vertical="center"/>
      <protection locked="0"/>
    </xf>
    <xf numFmtId="0" fontId="6" fillId="2" borderId="35" xfId="0" applyFont="1" applyFill="1" applyBorder="1" applyAlignment="1" applyProtection="1">
      <alignment vertical="center"/>
      <protection locked="0"/>
    </xf>
    <xf numFmtId="0" fontId="6" fillId="2" borderId="36" xfId="0" applyFont="1" applyFill="1" applyBorder="1" applyAlignment="1" applyProtection="1">
      <alignment vertical="center"/>
      <protection locked="0"/>
    </xf>
    <xf numFmtId="0" fontId="6" fillId="2" borderId="32" xfId="0" applyFont="1" applyFill="1" applyBorder="1" applyAlignment="1" applyProtection="1">
      <alignment vertical="center"/>
      <protection locked="0"/>
    </xf>
    <xf numFmtId="0" fontId="6" fillId="2" borderId="37" xfId="0" applyFont="1" applyFill="1" applyBorder="1" applyAlignment="1" applyProtection="1">
      <alignment vertical="center"/>
      <protection locked="0"/>
    </xf>
    <xf numFmtId="0" fontId="6" fillId="2" borderId="38" xfId="0" applyFont="1" applyFill="1" applyBorder="1" applyAlignment="1" applyProtection="1">
      <alignment vertical="center"/>
      <protection locked="0"/>
    </xf>
    <xf numFmtId="164" fontId="6" fillId="3" borderId="39" xfId="1" applyFont="1" applyFill="1" applyBorder="1" applyAlignment="1" applyProtection="1">
      <alignment vertical="center"/>
    </xf>
    <xf numFmtId="0" fontId="3" fillId="2" borderId="40" xfId="0" applyFont="1" applyFill="1" applyBorder="1" applyAlignment="1" applyProtection="1">
      <alignment horizontal="left" vertical="center"/>
    </xf>
    <xf numFmtId="0" fontId="3" fillId="2" borderId="41" xfId="0" applyFont="1" applyFill="1" applyBorder="1" applyAlignment="1" applyProtection="1">
      <alignment vertical="center"/>
    </xf>
    <xf numFmtId="164" fontId="6" fillId="3" borderId="42" xfId="1" applyFont="1" applyFill="1" applyBorder="1" applyAlignment="1" applyProtection="1">
      <alignment vertical="center"/>
    </xf>
    <xf numFmtId="164" fontId="6" fillId="2" borderId="43" xfId="1" applyFont="1" applyFill="1" applyBorder="1" applyAlignment="1" applyProtection="1">
      <alignment vertical="center"/>
      <protection locked="0"/>
    </xf>
    <xf numFmtId="164" fontId="6" fillId="2" borderId="42" xfId="1" applyFont="1" applyFill="1" applyBorder="1" applyAlignment="1" applyProtection="1">
      <alignment vertical="center"/>
      <protection locked="0"/>
    </xf>
    <xf numFmtId="0" fontId="6" fillId="2" borderId="44" xfId="0" applyFont="1" applyFill="1" applyBorder="1" applyAlignment="1" applyProtection="1">
      <alignment vertical="center"/>
      <protection locked="0"/>
    </xf>
    <xf numFmtId="0" fontId="6" fillId="2" borderId="45" xfId="0" applyFont="1" applyFill="1" applyBorder="1" applyAlignment="1" applyProtection="1">
      <alignment vertical="center"/>
      <protection locked="0"/>
    </xf>
    <xf numFmtId="0" fontId="6" fillId="2" borderId="41" xfId="0" applyFont="1" applyFill="1" applyBorder="1" applyAlignment="1" applyProtection="1">
      <alignment vertical="center"/>
      <protection locked="0"/>
    </xf>
    <xf numFmtId="0" fontId="6" fillId="2" borderId="46" xfId="0" applyFont="1" applyFill="1" applyBorder="1" applyAlignment="1" applyProtection="1">
      <alignment vertical="center"/>
      <protection locked="0"/>
    </xf>
    <xf numFmtId="0" fontId="6" fillId="2" borderId="47" xfId="0" applyFont="1" applyFill="1" applyBorder="1" applyAlignment="1" applyProtection="1">
      <alignment vertical="center"/>
      <protection locked="0"/>
    </xf>
    <xf numFmtId="164" fontId="6" fillId="3" borderId="48" xfId="1" applyFont="1" applyFill="1" applyBorder="1" applyAlignment="1" applyProtection="1">
      <alignment vertical="center"/>
    </xf>
    <xf numFmtId="3" fontId="6" fillId="2" borderId="35" xfId="0" applyNumberFormat="1" applyFont="1" applyFill="1" applyBorder="1" applyAlignment="1" applyProtection="1">
      <alignment vertical="center"/>
      <protection locked="0"/>
    </xf>
    <xf numFmtId="164" fontId="3" fillId="3" borderId="33" xfId="1" applyFont="1" applyFill="1" applyBorder="1" applyAlignment="1" applyProtection="1">
      <alignment vertical="center"/>
    </xf>
    <xf numFmtId="164" fontId="6" fillId="3" borderId="33" xfId="1" quotePrefix="1" applyFont="1" applyFill="1" applyBorder="1" applyAlignment="1" applyProtection="1">
      <alignment horizontal="right" vertical="center"/>
    </xf>
    <xf numFmtId="164" fontId="6" fillId="2" borderId="34" xfId="1" quotePrefix="1" applyFont="1" applyFill="1" applyBorder="1" applyAlignment="1" applyProtection="1">
      <alignment horizontal="right" vertical="center"/>
      <protection locked="0"/>
    </xf>
    <xf numFmtId="164" fontId="6" fillId="2" borderId="33" xfId="1" applyFont="1" applyFill="1" applyBorder="1" applyAlignment="1" applyProtection="1">
      <alignment vertical="center"/>
      <protection locked="0"/>
    </xf>
    <xf numFmtId="0" fontId="6" fillId="2" borderId="34" xfId="0" applyFont="1" applyFill="1" applyBorder="1" applyAlignment="1" applyProtection="1">
      <alignment vertical="center"/>
      <protection locked="0"/>
    </xf>
    <xf numFmtId="0" fontId="6" fillId="2" borderId="49" xfId="0" applyFont="1" applyFill="1" applyBorder="1" applyAlignment="1" applyProtection="1">
      <alignment vertical="center"/>
      <protection locked="0"/>
    </xf>
    <xf numFmtId="164" fontId="3" fillId="2" borderId="34" xfId="1" applyFont="1" applyFill="1" applyBorder="1" applyAlignment="1" applyProtection="1">
      <alignment vertical="center"/>
      <protection locked="0"/>
    </xf>
    <xf numFmtId="0" fontId="3" fillId="2" borderId="35" xfId="0" applyFont="1" applyFill="1" applyBorder="1" applyAlignment="1" applyProtection="1">
      <alignment vertical="center"/>
      <protection locked="0"/>
    </xf>
    <xf numFmtId="0" fontId="3" fillId="2" borderId="36" xfId="0" applyFont="1" applyFill="1" applyBorder="1" applyAlignment="1" applyProtection="1">
      <alignment vertical="center"/>
      <protection locked="0"/>
    </xf>
    <xf numFmtId="164" fontId="3" fillId="2" borderId="32" xfId="0" applyNumberFormat="1" applyFont="1" applyFill="1" applyBorder="1" applyAlignment="1" applyProtection="1">
      <alignment vertical="center"/>
      <protection locked="0"/>
    </xf>
    <xf numFmtId="0" fontId="3" fillId="2" borderId="37" xfId="0" applyFont="1" applyFill="1" applyBorder="1" applyAlignment="1" applyProtection="1">
      <alignment vertical="center"/>
      <protection locked="0"/>
    </xf>
    <xf numFmtId="0" fontId="3" fillId="2" borderId="32" xfId="0" applyFont="1" applyFill="1" applyBorder="1" applyAlignment="1" applyProtection="1">
      <alignment vertical="center"/>
      <protection locked="0"/>
    </xf>
    <xf numFmtId="0" fontId="3" fillId="2" borderId="38" xfId="0" applyFont="1" applyFill="1" applyBorder="1" applyAlignment="1" applyProtection="1">
      <alignment vertical="center"/>
      <protection locked="0"/>
    </xf>
    <xf numFmtId="164" fontId="3" fillId="3" borderId="39" xfId="1" applyFont="1" applyFill="1" applyBorder="1" applyAlignment="1" applyProtection="1">
      <alignment vertical="center"/>
    </xf>
    <xf numFmtId="0" fontId="3" fillId="2" borderId="50" xfId="0" applyFont="1" applyFill="1" applyBorder="1" applyAlignment="1" applyProtection="1">
      <alignment horizontal="left" vertical="center"/>
    </xf>
    <xf numFmtId="0" fontId="3" fillId="2" borderId="23" xfId="0" applyFont="1" applyFill="1" applyBorder="1" applyAlignment="1" applyProtection="1">
      <alignment vertical="center"/>
    </xf>
    <xf numFmtId="164" fontId="6" fillId="3" borderId="24" xfId="1" applyFont="1" applyFill="1" applyBorder="1" applyAlignment="1" applyProtection="1">
      <alignment vertical="center"/>
    </xf>
    <xf numFmtId="164" fontId="6" fillId="2" borderId="24" xfId="1" applyFont="1" applyFill="1" applyBorder="1" applyAlignment="1" applyProtection="1">
      <alignment vertical="center"/>
      <protection locked="0"/>
    </xf>
    <xf numFmtId="164" fontId="6" fillId="2" borderId="51" xfId="1" applyFont="1" applyFill="1" applyBorder="1" applyAlignment="1" applyProtection="1">
      <alignment vertical="center"/>
      <protection locked="0"/>
    </xf>
    <xf numFmtId="0" fontId="6" fillId="2" borderId="52" xfId="0" applyFont="1" applyFill="1" applyBorder="1" applyAlignment="1" applyProtection="1">
      <alignment vertical="center"/>
      <protection locked="0"/>
    </xf>
    <xf numFmtId="0" fontId="6" fillId="2" borderId="17" xfId="0" applyFont="1" applyFill="1" applyBorder="1" applyAlignment="1" applyProtection="1">
      <alignment vertical="center"/>
      <protection locked="0"/>
    </xf>
    <xf numFmtId="0" fontId="6" fillId="2" borderId="53" xfId="0" applyFont="1" applyFill="1" applyBorder="1" applyAlignment="1" applyProtection="1">
      <alignment vertical="center"/>
      <protection locked="0"/>
    </xf>
    <xf numFmtId="164" fontId="6" fillId="3" borderId="13" xfId="1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vertical="center"/>
      <protection locked="0"/>
    </xf>
    <xf numFmtId="0" fontId="6" fillId="2" borderId="12" xfId="0" applyFont="1" applyFill="1" applyBorder="1" applyAlignment="1" applyProtection="1">
      <alignment vertical="center"/>
      <protection locked="0"/>
    </xf>
    <xf numFmtId="164" fontId="6" fillId="3" borderId="54" xfId="1" applyFont="1" applyFill="1" applyBorder="1" applyAlignment="1" applyProtection="1">
      <alignment vertical="center"/>
    </xf>
    <xf numFmtId="0" fontId="3" fillId="2" borderId="55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vertical="center"/>
    </xf>
    <xf numFmtId="164" fontId="3" fillId="3" borderId="56" xfId="1" applyFont="1" applyFill="1" applyBorder="1" applyAlignment="1" applyProtection="1">
      <alignment vertical="center"/>
    </xf>
    <xf numFmtId="164" fontId="3" fillId="3" borderId="0" xfId="1" applyFont="1" applyFill="1" applyBorder="1" applyAlignment="1" applyProtection="1">
      <alignment vertical="center"/>
    </xf>
    <xf numFmtId="164" fontId="3" fillId="3" borderId="57" xfId="1" applyFont="1" applyFill="1" applyBorder="1" applyAlignment="1" applyProtection="1">
      <alignment vertical="center"/>
    </xf>
    <xf numFmtId="164" fontId="3" fillId="3" borderId="58" xfId="1" applyFont="1" applyFill="1" applyBorder="1" applyAlignment="1" applyProtection="1">
      <alignment vertical="center"/>
    </xf>
    <xf numFmtId="164" fontId="3" fillId="3" borderId="59" xfId="1" applyFont="1" applyFill="1" applyBorder="1" applyAlignment="1" applyProtection="1">
      <alignment vertical="center"/>
    </xf>
    <xf numFmtId="164" fontId="3" fillId="3" borderId="60" xfId="1" applyFont="1" applyFill="1" applyBorder="1" applyAlignment="1" applyProtection="1">
      <alignment vertical="center"/>
    </xf>
    <xf numFmtId="0" fontId="3" fillId="2" borderId="61" xfId="0" applyFont="1" applyFill="1" applyBorder="1" applyAlignment="1" applyProtection="1">
      <alignment vertical="center"/>
    </xf>
    <xf numFmtId="0" fontId="3" fillId="2" borderId="62" xfId="0" applyFont="1" applyFill="1" applyBorder="1" applyAlignment="1" applyProtection="1">
      <alignment vertical="center"/>
    </xf>
    <xf numFmtId="164" fontId="3" fillId="3" borderId="63" xfId="1" applyFont="1" applyFill="1" applyBorder="1" applyAlignment="1" applyProtection="1">
      <alignment vertical="center"/>
    </xf>
    <xf numFmtId="164" fontId="3" fillId="3" borderId="62" xfId="1" applyFont="1" applyFill="1" applyBorder="1" applyAlignment="1" applyProtection="1">
      <alignment vertical="center"/>
    </xf>
    <xf numFmtId="164" fontId="3" fillId="3" borderId="64" xfId="1" applyFont="1" applyFill="1" applyBorder="1" applyAlignment="1" applyProtection="1">
      <alignment vertical="center"/>
    </xf>
    <xf numFmtId="164" fontId="3" fillId="3" borderId="65" xfId="1" applyFont="1" applyFill="1" applyBorder="1" applyAlignment="1" applyProtection="1">
      <alignment vertical="center"/>
    </xf>
    <xf numFmtId="164" fontId="3" fillId="3" borderId="66" xfId="1" applyFont="1" applyFill="1" applyBorder="1" applyAlignment="1" applyProtection="1">
      <alignment vertical="center"/>
    </xf>
    <xf numFmtId="164" fontId="3" fillId="3" borderId="67" xfId="1" applyFont="1" applyFill="1" applyBorder="1" applyAlignment="1" applyProtection="1">
      <alignment vertical="center"/>
    </xf>
    <xf numFmtId="164" fontId="3" fillId="3" borderId="68" xfId="1" applyFont="1" applyFill="1" applyBorder="1" applyAlignment="1" applyProtection="1">
      <alignment vertical="center"/>
    </xf>
    <xf numFmtId="0" fontId="3" fillId="2" borderId="0" xfId="0" applyFont="1" applyFill="1" applyAlignment="1" applyProtection="1">
      <alignment horizontal="left" vertical="center"/>
    </xf>
    <xf numFmtId="0" fontId="3" fillId="2" borderId="16" xfId="0" applyFont="1" applyFill="1" applyBorder="1" applyAlignment="1" applyProtection="1">
      <alignment horizontal="center" vertical="center"/>
    </xf>
    <xf numFmtId="0" fontId="3" fillId="2" borderId="15" xfId="0" applyFont="1" applyFill="1" applyBorder="1" applyAlignment="1" applyProtection="1">
      <alignment horizontal="center" vertical="center"/>
    </xf>
    <xf numFmtId="0" fontId="3" fillId="2" borderId="20" xfId="0" applyFont="1" applyFill="1" applyBorder="1" applyAlignment="1" applyProtection="1">
      <alignment horizontal="center" vertical="center"/>
    </xf>
    <xf numFmtId="0" fontId="3" fillId="2" borderId="23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11" xfId="0" applyFont="1" applyFill="1" applyBorder="1" applyAlignment="1" applyProtection="1">
      <alignment horizontal="center" vertical="center"/>
    </xf>
    <xf numFmtId="0" fontId="5" fillId="2" borderId="22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</xf>
    <xf numFmtId="0" fontId="5" fillId="2" borderId="23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13" xfId="0" applyFont="1" applyFill="1" applyBorder="1" applyAlignment="1" applyProtection="1">
      <alignment horizontal="center" vertical="center" wrapText="1"/>
    </xf>
    <xf numFmtId="0" fontId="5" fillId="2" borderId="24" xfId="0" applyFont="1" applyFill="1" applyBorder="1" applyAlignment="1" applyProtection="1">
      <alignment horizontal="center" vertical="center" wrapText="1"/>
    </xf>
    <xf numFmtId="0" fontId="3" fillId="2" borderId="5" xfId="0" applyFont="1" applyFill="1" applyBorder="1" applyAlignment="1" applyProtection="1">
      <alignment horizontal="center" vertical="center"/>
    </xf>
    <xf numFmtId="0" fontId="3" fillId="2" borderId="6" xfId="0" applyFont="1" applyFill="1" applyBorder="1" applyAlignment="1" applyProtection="1">
      <alignment horizontal="center" vertical="center"/>
    </xf>
    <xf numFmtId="0" fontId="3" fillId="2" borderId="7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center" vertical="center" wrapText="1"/>
    </xf>
    <xf numFmtId="0" fontId="5" fillId="2" borderId="21" xfId="0" applyFont="1" applyFill="1" applyBorder="1" applyAlignment="1" applyProtection="1">
      <alignment horizontal="center" vertical="center" wrapText="1"/>
    </xf>
    <xf numFmtId="0" fontId="5" fillId="2" borderId="30" xfId="0" applyFont="1" applyFill="1" applyBorder="1" applyAlignment="1" applyProtection="1">
      <alignment horizontal="center" vertical="center" wrapText="1"/>
    </xf>
    <xf numFmtId="0" fontId="3" fillId="2" borderId="14" xfId="0" applyFont="1" applyFill="1" applyBorder="1" applyAlignment="1" applyProtection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topLeftCell="C1" workbookViewId="0">
      <selection activeCell="K38" sqref="K38"/>
    </sheetView>
  </sheetViews>
  <sheetFormatPr defaultRowHeight="15" x14ac:dyDescent="0.25"/>
  <cols>
    <col min="1" max="1" width="4" customWidth="1"/>
    <col min="2" max="2" width="15" customWidth="1"/>
  </cols>
  <sheetData>
    <row r="1" spans="1:21" ht="15.75" x14ac:dyDescent="0.2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</row>
    <row r="2" spans="1:21" ht="16.5" thickBo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4"/>
      <c r="U2" s="4"/>
    </row>
    <row r="3" spans="1:21" ht="15.75" thickTop="1" x14ac:dyDescent="0.25">
      <c r="A3" s="95" t="s">
        <v>1</v>
      </c>
      <c r="B3" s="98" t="s">
        <v>2</v>
      </c>
      <c r="C3" s="101" t="s">
        <v>3</v>
      </c>
      <c r="D3" s="5" t="s">
        <v>4</v>
      </c>
      <c r="E3" s="6" t="s">
        <v>5</v>
      </c>
      <c r="F3" s="104" t="s">
        <v>6</v>
      </c>
      <c r="G3" s="105"/>
      <c r="H3" s="105"/>
      <c r="I3" s="106"/>
      <c r="J3" s="107" t="s">
        <v>7</v>
      </c>
      <c r="K3" s="105"/>
      <c r="L3" s="7" t="s">
        <v>8</v>
      </c>
      <c r="M3" s="105" t="s">
        <v>9</v>
      </c>
      <c r="N3" s="105"/>
      <c r="O3" s="105"/>
      <c r="P3" s="106"/>
      <c r="Q3" s="107" t="s">
        <v>10</v>
      </c>
      <c r="R3" s="105"/>
      <c r="S3" s="8"/>
      <c r="T3" s="7" t="s">
        <v>8</v>
      </c>
      <c r="U3" s="108" t="s">
        <v>11</v>
      </c>
    </row>
    <row r="4" spans="1:21" x14ac:dyDescent="0.25">
      <c r="A4" s="96"/>
      <c r="B4" s="99"/>
      <c r="C4" s="102"/>
      <c r="D4" s="9" t="s">
        <v>12</v>
      </c>
      <c r="E4" s="10" t="s">
        <v>13</v>
      </c>
      <c r="F4" s="111" t="s">
        <v>14</v>
      </c>
      <c r="G4" s="91"/>
      <c r="H4" s="90" t="s">
        <v>15</v>
      </c>
      <c r="I4" s="91"/>
      <c r="J4" s="11" t="s">
        <v>16</v>
      </c>
      <c r="K4" s="11" t="s">
        <v>12</v>
      </c>
      <c r="L4" s="12" t="s">
        <v>17</v>
      </c>
      <c r="M4" s="13" t="s">
        <v>18</v>
      </c>
      <c r="N4" s="13"/>
      <c r="O4" s="90" t="s">
        <v>19</v>
      </c>
      <c r="P4" s="91"/>
      <c r="Q4" s="14" t="s">
        <v>12</v>
      </c>
      <c r="R4" s="15" t="s">
        <v>20</v>
      </c>
      <c r="S4" s="92" t="s">
        <v>21</v>
      </c>
      <c r="T4" s="12" t="s">
        <v>22</v>
      </c>
      <c r="U4" s="109"/>
    </row>
    <row r="5" spans="1:21" ht="15.75" thickBot="1" x14ac:dyDescent="0.3">
      <c r="A5" s="97"/>
      <c r="B5" s="100"/>
      <c r="C5" s="103"/>
      <c r="D5" s="16" t="s">
        <v>23</v>
      </c>
      <c r="E5" s="17" t="s">
        <v>24</v>
      </c>
      <c r="F5" s="18" t="s">
        <v>25</v>
      </c>
      <c r="G5" s="19" t="s">
        <v>26</v>
      </c>
      <c r="H5" s="20" t="s">
        <v>27</v>
      </c>
      <c r="I5" s="21" t="s">
        <v>26</v>
      </c>
      <c r="J5" s="20" t="s">
        <v>28</v>
      </c>
      <c r="K5" s="20" t="s">
        <v>28</v>
      </c>
      <c r="L5" s="22" t="s">
        <v>29</v>
      </c>
      <c r="M5" s="23" t="s">
        <v>25</v>
      </c>
      <c r="N5" s="21" t="s">
        <v>26</v>
      </c>
      <c r="O5" s="20" t="s">
        <v>25</v>
      </c>
      <c r="P5" s="19" t="s">
        <v>26</v>
      </c>
      <c r="Q5" s="20" t="s">
        <v>28</v>
      </c>
      <c r="R5" s="20" t="s">
        <v>30</v>
      </c>
      <c r="S5" s="93"/>
      <c r="T5" s="22" t="s">
        <v>31</v>
      </c>
      <c r="U5" s="110"/>
    </row>
    <row r="6" spans="1:21" x14ac:dyDescent="0.25">
      <c r="A6" s="24">
        <v>1</v>
      </c>
      <c r="B6" s="25" t="s">
        <v>32</v>
      </c>
      <c r="C6" s="26">
        <v>2421</v>
      </c>
      <c r="D6" s="27"/>
      <c r="E6" s="27"/>
      <c r="F6" s="28">
        <v>16</v>
      </c>
      <c r="G6" s="29">
        <v>17</v>
      </c>
      <c r="H6" s="29">
        <v>5</v>
      </c>
      <c r="I6" s="29">
        <v>3</v>
      </c>
      <c r="J6" s="29">
        <v>0</v>
      </c>
      <c r="K6" s="30">
        <v>100</v>
      </c>
      <c r="L6" s="26">
        <f>SUM(F6:K6)</f>
        <v>141</v>
      </c>
      <c r="M6" s="31">
        <v>0</v>
      </c>
      <c r="N6" s="29">
        <v>0</v>
      </c>
      <c r="O6" s="29">
        <v>24</v>
      </c>
      <c r="P6" s="29">
        <v>14</v>
      </c>
      <c r="Q6" s="29">
        <v>0</v>
      </c>
      <c r="R6" s="30">
        <v>0</v>
      </c>
      <c r="S6" s="32">
        <v>0</v>
      </c>
      <c r="T6" s="26">
        <f>SUM(M6:S6)</f>
        <v>38</v>
      </c>
      <c r="U6" s="33">
        <f>+C6+L6-T6</f>
        <v>2524</v>
      </c>
    </row>
    <row r="7" spans="1:21" x14ac:dyDescent="0.25">
      <c r="A7" s="34">
        <v>2</v>
      </c>
      <c r="B7" s="25" t="s">
        <v>33</v>
      </c>
      <c r="C7" s="26">
        <v>1595</v>
      </c>
      <c r="D7" s="27"/>
      <c r="E7" s="27"/>
      <c r="F7" s="28">
        <v>9</v>
      </c>
      <c r="G7" s="29">
        <v>10</v>
      </c>
      <c r="H7" s="29">
        <v>5</v>
      </c>
      <c r="I7" s="29">
        <v>3</v>
      </c>
      <c r="J7" s="29">
        <v>5</v>
      </c>
      <c r="K7" s="30">
        <v>33</v>
      </c>
      <c r="L7" s="26">
        <f>SUM(F7:K7)</f>
        <v>65</v>
      </c>
      <c r="M7" s="31">
        <v>0</v>
      </c>
      <c r="N7" s="29">
        <v>0</v>
      </c>
      <c r="O7" s="29">
        <v>3</v>
      </c>
      <c r="P7" s="29">
        <v>2</v>
      </c>
      <c r="Q7" s="29">
        <v>20</v>
      </c>
      <c r="R7" s="30">
        <v>2</v>
      </c>
      <c r="S7" s="32">
        <v>0</v>
      </c>
      <c r="T7" s="26">
        <f>SUM(M7:S7)</f>
        <v>27</v>
      </c>
      <c r="U7" s="33">
        <f t="shared" ref="U7:U38" si="0">+C7+L7-T7</f>
        <v>1633</v>
      </c>
    </row>
    <row r="8" spans="1:21" x14ac:dyDescent="0.25">
      <c r="A8" s="34">
        <v>3</v>
      </c>
      <c r="B8" s="35" t="s">
        <v>34</v>
      </c>
      <c r="C8" s="36">
        <v>4278</v>
      </c>
      <c r="D8" s="37"/>
      <c r="E8" s="38"/>
      <c r="F8" s="39">
        <v>27</v>
      </c>
      <c r="G8" s="40">
        <v>37</v>
      </c>
      <c r="H8" s="40">
        <v>5</v>
      </c>
      <c r="I8" s="40">
        <v>10</v>
      </c>
      <c r="J8" s="40">
        <v>7</v>
      </c>
      <c r="K8" s="41">
        <v>107</v>
      </c>
      <c r="L8" s="36">
        <f>SUM(F8:K8)</f>
        <v>193</v>
      </c>
      <c r="M8" s="42">
        <v>0</v>
      </c>
      <c r="N8" s="40">
        <v>0</v>
      </c>
      <c r="O8" s="40">
        <v>18</v>
      </c>
      <c r="P8" s="40">
        <v>28</v>
      </c>
      <c r="Q8" s="40">
        <v>84</v>
      </c>
      <c r="R8" s="41">
        <v>0</v>
      </c>
      <c r="S8" s="43">
        <v>0</v>
      </c>
      <c r="T8" s="36">
        <f>SUM(M8:S8)</f>
        <v>130</v>
      </c>
      <c r="U8" s="44">
        <f>+C8+L8-T8</f>
        <v>4341</v>
      </c>
    </row>
    <row r="9" spans="1:21" x14ac:dyDescent="0.25">
      <c r="A9" s="34">
        <v>4</v>
      </c>
      <c r="B9" s="25" t="s">
        <v>35</v>
      </c>
      <c r="C9" s="26">
        <v>5102</v>
      </c>
      <c r="D9" s="27"/>
      <c r="E9" s="27"/>
      <c r="F9" s="45">
        <v>31</v>
      </c>
      <c r="G9" s="29">
        <v>26</v>
      </c>
      <c r="H9" s="29">
        <v>10</v>
      </c>
      <c r="I9" s="29">
        <v>9</v>
      </c>
      <c r="J9" s="29">
        <v>7</v>
      </c>
      <c r="K9" s="30">
        <v>99</v>
      </c>
      <c r="L9" s="26">
        <f>SUM(F9:K9)</f>
        <v>182</v>
      </c>
      <c r="M9" s="31">
        <v>1</v>
      </c>
      <c r="N9" s="29">
        <v>1</v>
      </c>
      <c r="O9" s="29">
        <v>18</v>
      </c>
      <c r="P9" s="29">
        <v>21</v>
      </c>
      <c r="Q9" s="29">
        <v>52</v>
      </c>
      <c r="R9" s="30">
        <v>0</v>
      </c>
      <c r="S9" s="32">
        <v>0</v>
      </c>
      <c r="T9" s="26">
        <f>SUM(M9:S9)</f>
        <v>93</v>
      </c>
      <c r="U9" s="33">
        <f t="shared" si="0"/>
        <v>5191</v>
      </c>
    </row>
    <row r="10" spans="1:21" x14ac:dyDescent="0.25">
      <c r="A10" s="34">
        <v>5</v>
      </c>
      <c r="B10" s="25" t="s">
        <v>36</v>
      </c>
      <c r="C10" s="26">
        <v>4135</v>
      </c>
      <c r="D10" s="27">
        <v>3977</v>
      </c>
      <c r="E10" s="27">
        <f>C10-D10</f>
        <v>158</v>
      </c>
      <c r="F10" s="28">
        <v>32</v>
      </c>
      <c r="G10" s="29">
        <v>20</v>
      </c>
      <c r="H10" s="29">
        <v>8</v>
      </c>
      <c r="I10" s="29">
        <v>6</v>
      </c>
      <c r="J10" s="29">
        <v>0</v>
      </c>
      <c r="K10" s="30">
        <v>46</v>
      </c>
      <c r="L10" s="26">
        <f t="shared" ref="L10:L38" si="1">SUM(F10:K10)</f>
        <v>112</v>
      </c>
      <c r="M10" s="31">
        <v>26</v>
      </c>
      <c r="N10" s="29">
        <v>18</v>
      </c>
      <c r="O10" s="29">
        <v>0</v>
      </c>
      <c r="P10" s="29">
        <v>0</v>
      </c>
      <c r="Q10" s="29">
        <v>30</v>
      </c>
      <c r="R10" s="30">
        <v>15</v>
      </c>
      <c r="S10" s="32">
        <v>158</v>
      </c>
      <c r="T10" s="26">
        <f t="shared" ref="T10:T38" si="2">SUM(M10:S10)</f>
        <v>247</v>
      </c>
      <c r="U10" s="33">
        <f t="shared" si="0"/>
        <v>4000</v>
      </c>
    </row>
    <row r="11" spans="1:21" x14ac:dyDescent="0.25">
      <c r="A11" s="34">
        <v>6</v>
      </c>
      <c r="B11" s="25" t="s">
        <v>37</v>
      </c>
      <c r="C11" s="26">
        <v>3682</v>
      </c>
      <c r="D11" s="27"/>
      <c r="E11" s="27"/>
      <c r="F11" s="28">
        <v>17</v>
      </c>
      <c r="G11" s="29">
        <v>17</v>
      </c>
      <c r="H11" s="29">
        <v>10</v>
      </c>
      <c r="I11" s="29">
        <v>12</v>
      </c>
      <c r="J11" s="29">
        <v>2</v>
      </c>
      <c r="K11" s="30">
        <v>52</v>
      </c>
      <c r="L11" s="26">
        <f t="shared" si="1"/>
        <v>110</v>
      </c>
      <c r="M11" s="31">
        <v>4</v>
      </c>
      <c r="N11" s="29">
        <v>3</v>
      </c>
      <c r="O11" s="29">
        <v>22</v>
      </c>
      <c r="P11" s="29">
        <v>25</v>
      </c>
      <c r="Q11" s="29">
        <v>49</v>
      </c>
      <c r="R11" s="30">
        <v>2</v>
      </c>
      <c r="S11" s="32">
        <v>0</v>
      </c>
      <c r="T11" s="26">
        <f t="shared" si="2"/>
        <v>105</v>
      </c>
      <c r="U11" s="33">
        <f t="shared" si="0"/>
        <v>3687</v>
      </c>
    </row>
    <row r="12" spans="1:21" x14ac:dyDescent="0.25">
      <c r="A12" s="34">
        <v>7</v>
      </c>
      <c r="B12" s="25" t="s">
        <v>38</v>
      </c>
      <c r="C12" s="26">
        <v>2907</v>
      </c>
      <c r="D12" s="27"/>
      <c r="E12" s="27"/>
      <c r="F12" s="28">
        <v>26</v>
      </c>
      <c r="G12" s="29">
        <v>14</v>
      </c>
      <c r="H12" s="29">
        <v>5</v>
      </c>
      <c r="I12" s="29">
        <v>8</v>
      </c>
      <c r="J12" s="29">
        <v>2</v>
      </c>
      <c r="K12" s="30">
        <v>100</v>
      </c>
      <c r="L12" s="26">
        <f t="shared" si="1"/>
        <v>155</v>
      </c>
      <c r="M12" s="31">
        <v>1</v>
      </c>
      <c r="N12" s="29">
        <v>2</v>
      </c>
      <c r="O12" s="29">
        <v>16</v>
      </c>
      <c r="P12" s="29">
        <v>9</v>
      </c>
      <c r="Q12" s="29">
        <v>43</v>
      </c>
      <c r="R12" s="30">
        <v>0</v>
      </c>
      <c r="S12" s="32">
        <v>0</v>
      </c>
      <c r="T12" s="26">
        <f t="shared" si="2"/>
        <v>71</v>
      </c>
      <c r="U12" s="33">
        <f t="shared" si="0"/>
        <v>2991</v>
      </c>
    </row>
    <row r="13" spans="1:21" x14ac:dyDescent="0.25">
      <c r="A13" s="34">
        <v>8</v>
      </c>
      <c r="B13" s="25" t="s">
        <v>39</v>
      </c>
      <c r="C13" s="26">
        <v>6212</v>
      </c>
      <c r="D13" s="27">
        <v>6192</v>
      </c>
      <c r="E13" s="27">
        <f>C13-D13</f>
        <v>20</v>
      </c>
      <c r="F13" s="28">
        <v>31</v>
      </c>
      <c r="G13" s="29">
        <v>29</v>
      </c>
      <c r="H13" s="29">
        <v>8</v>
      </c>
      <c r="I13" s="29">
        <v>24</v>
      </c>
      <c r="J13" s="29">
        <v>0</v>
      </c>
      <c r="K13" s="30">
        <v>43</v>
      </c>
      <c r="L13" s="26">
        <f t="shared" si="1"/>
        <v>135</v>
      </c>
      <c r="M13" s="31">
        <v>0</v>
      </c>
      <c r="N13" s="29">
        <v>0</v>
      </c>
      <c r="O13" s="29">
        <v>46</v>
      </c>
      <c r="P13" s="29">
        <v>57</v>
      </c>
      <c r="Q13" s="29">
        <v>41</v>
      </c>
      <c r="R13" s="30">
        <v>4</v>
      </c>
      <c r="S13" s="32">
        <v>20</v>
      </c>
      <c r="T13" s="26">
        <f t="shared" si="2"/>
        <v>168</v>
      </c>
      <c r="U13" s="33">
        <f t="shared" si="0"/>
        <v>6179</v>
      </c>
    </row>
    <row r="14" spans="1:21" x14ac:dyDescent="0.25">
      <c r="A14" s="34">
        <v>9</v>
      </c>
      <c r="B14" s="25" t="s">
        <v>40</v>
      </c>
      <c r="C14" s="46">
        <v>4821</v>
      </c>
      <c r="D14" s="27"/>
      <c r="E14" s="27"/>
      <c r="F14" s="28">
        <v>16</v>
      </c>
      <c r="G14" s="29">
        <v>15</v>
      </c>
      <c r="H14" s="29">
        <v>7</v>
      </c>
      <c r="I14" s="29">
        <v>7</v>
      </c>
      <c r="J14" s="29">
        <v>6</v>
      </c>
      <c r="K14" s="30">
        <v>64</v>
      </c>
      <c r="L14" s="26">
        <f t="shared" si="1"/>
        <v>115</v>
      </c>
      <c r="M14" s="31">
        <v>0</v>
      </c>
      <c r="N14" s="29">
        <v>0</v>
      </c>
      <c r="O14" s="29">
        <v>15</v>
      </c>
      <c r="P14" s="29">
        <v>16</v>
      </c>
      <c r="Q14" s="29">
        <v>51</v>
      </c>
      <c r="R14" s="30">
        <v>0</v>
      </c>
      <c r="S14" s="32">
        <v>0</v>
      </c>
      <c r="T14" s="26">
        <f t="shared" si="2"/>
        <v>82</v>
      </c>
      <c r="U14" s="33">
        <f t="shared" si="0"/>
        <v>4854</v>
      </c>
    </row>
    <row r="15" spans="1:21" x14ac:dyDescent="0.25">
      <c r="A15" s="34">
        <v>10</v>
      </c>
      <c r="B15" s="25" t="s">
        <v>41</v>
      </c>
      <c r="C15" s="26">
        <v>6696</v>
      </c>
      <c r="D15" s="27"/>
      <c r="E15" s="27"/>
      <c r="F15" s="28">
        <v>44</v>
      </c>
      <c r="G15" s="29">
        <v>34</v>
      </c>
      <c r="H15" s="29">
        <v>3</v>
      </c>
      <c r="I15" s="29">
        <v>8</v>
      </c>
      <c r="J15" s="29">
        <v>4</v>
      </c>
      <c r="K15" s="30">
        <v>51</v>
      </c>
      <c r="L15" s="26">
        <f t="shared" si="1"/>
        <v>144</v>
      </c>
      <c r="M15" s="31">
        <v>1</v>
      </c>
      <c r="N15" s="29">
        <v>0</v>
      </c>
      <c r="O15" s="29">
        <v>44</v>
      </c>
      <c r="P15" s="29">
        <v>44</v>
      </c>
      <c r="Q15" s="29">
        <v>29</v>
      </c>
      <c r="R15" s="30">
        <v>8</v>
      </c>
      <c r="S15" s="32">
        <v>0</v>
      </c>
      <c r="T15" s="26">
        <f t="shared" si="2"/>
        <v>126</v>
      </c>
      <c r="U15" s="33">
        <f t="shared" si="0"/>
        <v>6714</v>
      </c>
    </row>
    <row r="16" spans="1:21" x14ac:dyDescent="0.25">
      <c r="A16" s="34">
        <v>11</v>
      </c>
      <c r="B16" s="25" t="s">
        <v>42</v>
      </c>
      <c r="C16" s="26">
        <v>3285</v>
      </c>
      <c r="D16" s="27">
        <v>3265</v>
      </c>
      <c r="E16" s="27">
        <f>C16-D16</f>
        <v>20</v>
      </c>
      <c r="F16" s="28">
        <v>14</v>
      </c>
      <c r="G16" s="29">
        <v>17</v>
      </c>
      <c r="H16" s="29">
        <v>8</v>
      </c>
      <c r="I16" s="29">
        <v>5</v>
      </c>
      <c r="J16" s="29">
        <v>0</v>
      </c>
      <c r="K16" s="30">
        <v>29</v>
      </c>
      <c r="L16" s="26">
        <f t="shared" si="1"/>
        <v>73</v>
      </c>
      <c r="M16" s="31">
        <v>8</v>
      </c>
      <c r="N16" s="29">
        <v>20</v>
      </c>
      <c r="O16" s="29">
        <v>0</v>
      </c>
      <c r="P16" s="29">
        <v>0</v>
      </c>
      <c r="Q16" s="29">
        <v>38</v>
      </c>
      <c r="R16" s="30">
        <v>1</v>
      </c>
      <c r="S16" s="32">
        <v>20</v>
      </c>
      <c r="T16" s="26">
        <f t="shared" si="2"/>
        <v>87</v>
      </c>
      <c r="U16" s="33">
        <f t="shared" si="0"/>
        <v>3271</v>
      </c>
    </row>
    <row r="17" spans="1:21" x14ac:dyDescent="0.25">
      <c r="A17" s="34">
        <v>12</v>
      </c>
      <c r="B17" s="25" t="s">
        <v>43</v>
      </c>
      <c r="C17" s="46">
        <v>2420</v>
      </c>
      <c r="D17" s="27"/>
      <c r="E17" s="27"/>
      <c r="F17" s="28">
        <v>18</v>
      </c>
      <c r="G17" s="29">
        <v>16</v>
      </c>
      <c r="H17" s="29">
        <v>10</v>
      </c>
      <c r="I17" s="29">
        <v>12</v>
      </c>
      <c r="J17" s="29">
        <v>2</v>
      </c>
      <c r="K17" s="30">
        <v>35</v>
      </c>
      <c r="L17" s="26">
        <f t="shared" si="1"/>
        <v>93</v>
      </c>
      <c r="M17" s="31">
        <v>0</v>
      </c>
      <c r="N17" s="29">
        <v>0</v>
      </c>
      <c r="O17" s="29">
        <v>5</v>
      </c>
      <c r="P17" s="29">
        <v>8</v>
      </c>
      <c r="Q17" s="29">
        <v>12</v>
      </c>
      <c r="R17" s="30">
        <v>0</v>
      </c>
      <c r="S17" s="32">
        <v>0</v>
      </c>
      <c r="T17" s="26">
        <f t="shared" si="2"/>
        <v>25</v>
      </c>
      <c r="U17" s="33">
        <f t="shared" si="0"/>
        <v>2488</v>
      </c>
    </row>
    <row r="18" spans="1:21" x14ac:dyDescent="0.25">
      <c r="A18" s="34">
        <v>13</v>
      </c>
      <c r="B18" s="25" t="s">
        <v>44</v>
      </c>
      <c r="C18" s="26">
        <v>11043</v>
      </c>
      <c r="D18" s="27"/>
      <c r="E18" s="27"/>
      <c r="F18" s="28">
        <v>71</v>
      </c>
      <c r="G18" s="29">
        <v>71</v>
      </c>
      <c r="H18" s="29">
        <v>14</v>
      </c>
      <c r="I18" s="29">
        <v>26</v>
      </c>
      <c r="J18" s="29">
        <v>5</v>
      </c>
      <c r="K18" s="30">
        <v>26</v>
      </c>
      <c r="L18" s="26">
        <f t="shared" si="1"/>
        <v>213</v>
      </c>
      <c r="M18" s="31">
        <v>0</v>
      </c>
      <c r="N18" s="29">
        <v>1</v>
      </c>
      <c r="O18" s="29">
        <v>56</v>
      </c>
      <c r="P18" s="29">
        <v>54</v>
      </c>
      <c r="Q18" s="29">
        <v>17</v>
      </c>
      <c r="R18" s="30">
        <v>0</v>
      </c>
      <c r="S18" s="32">
        <v>0</v>
      </c>
      <c r="T18" s="26">
        <f t="shared" si="2"/>
        <v>128</v>
      </c>
      <c r="U18" s="33">
        <f t="shared" si="0"/>
        <v>11128</v>
      </c>
    </row>
    <row r="19" spans="1:21" x14ac:dyDescent="0.25">
      <c r="A19" s="34">
        <v>14</v>
      </c>
      <c r="B19" s="25" t="s">
        <v>45</v>
      </c>
      <c r="C19" s="47">
        <v>2767</v>
      </c>
      <c r="D19" s="48">
        <v>2773</v>
      </c>
      <c r="E19" s="49">
        <f>D19-C19</f>
        <v>6</v>
      </c>
      <c r="F19" s="50">
        <v>15</v>
      </c>
      <c r="G19" s="30">
        <v>10</v>
      </c>
      <c r="H19" s="30">
        <v>6</v>
      </c>
      <c r="I19" s="29">
        <v>5</v>
      </c>
      <c r="J19" s="30">
        <v>6</v>
      </c>
      <c r="K19" s="30">
        <v>39</v>
      </c>
      <c r="L19" s="26">
        <f>SUM(F19:K19)</f>
        <v>81</v>
      </c>
      <c r="M19" s="51"/>
      <c r="N19" s="30"/>
      <c r="O19" s="30"/>
      <c r="P19" s="30"/>
      <c r="Q19" s="30"/>
      <c r="R19" s="30"/>
      <c r="S19" s="32"/>
      <c r="T19" s="26">
        <f>SUM(M19:S19)</f>
        <v>0</v>
      </c>
      <c r="U19" s="33">
        <f>+C19+L19-T19</f>
        <v>2848</v>
      </c>
    </row>
    <row r="20" spans="1:21" x14ac:dyDescent="0.25">
      <c r="A20" s="34">
        <v>15</v>
      </c>
      <c r="B20" s="25" t="s">
        <v>46</v>
      </c>
      <c r="C20" s="26">
        <v>2580</v>
      </c>
      <c r="D20" s="27">
        <v>2579</v>
      </c>
      <c r="E20" s="27">
        <f>C20-D20</f>
        <v>1</v>
      </c>
      <c r="F20" s="28">
        <v>14</v>
      </c>
      <c r="G20" s="29">
        <v>24</v>
      </c>
      <c r="H20" s="29">
        <v>14</v>
      </c>
      <c r="I20" s="29">
        <v>15</v>
      </c>
      <c r="J20" s="29">
        <v>2</v>
      </c>
      <c r="K20" s="30">
        <v>0</v>
      </c>
      <c r="L20" s="26">
        <f t="shared" si="1"/>
        <v>69</v>
      </c>
      <c r="M20" s="31">
        <v>0</v>
      </c>
      <c r="N20" s="29">
        <v>0</v>
      </c>
      <c r="O20" s="29">
        <v>14</v>
      </c>
      <c r="P20" s="29">
        <v>9</v>
      </c>
      <c r="Q20" s="29">
        <v>287</v>
      </c>
      <c r="R20" s="30">
        <v>0</v>
      </c>
      <c r="S20" s="32">
        <v>1</v>
      </c>
      <c r="T20" s="26">
        <f t="shared" si="2"/>
        <v>311</v>
      </c>
      <c r="U20" s="33">
        <f>+C20+L20-T20</f>
        <v>2338</v>
      </c>
    </row>
    <row r="21" spans="1:21" x14ac:dyDescent="0.25">
      <c r="A21" s="34">
        <v>16</v>
      </c>
      <c r="B21" s="25" t="s">
        <v>47</v>
      </c>
      <c r="C21" s="26">
        <v>9030</v>
      </c>
      <c r="D21" s="27"/>
      <c r="E21" s="27"/>
      <c r="F21" s="28">
        <v>55</v>
      </c>
      <c r="G21" s="29">
        <v>61</v>
      </c>
      <c r="H21" s="29">
        <v>13</v>
      </c>
      <c r="I21" s="29">
        <v>20</v>
      </c>
      <c r="J21" s="29">
        <v>2</v>
      </c>
      <c r="K21" s="30">
        <v>124</v>
      </c>
      <c r="L21" s="26">
        <f t="shared" si="1"/>
        <v>275</v>
      </c>
      <c r="M21" s="31">
        <v>1</v>
      </c>
      <c r="N21" s="29">
        <v>1</v>
      </c>
      <c r="O21" s="29">
        <v>56</v>
      </c>
      <c r="P21" s="29">
        <v>62</v>
      </c>
      <c r="Q21" s="29">
        <v>57</v>
      </c>
      <c r="R21" s="30">
        <v>0</v>
      </c>
      <c r="S21" s="32">
        <v>0</v>
      </c>
      <c r="T21" s="26">
        <f t="shared" si="2"/>
        <v>177</v>
      </c>
      <c r="U21" s="33">
        <f t="shared" si="0"/>
        <v>9128</v>
      </c>
    </row>
    <row r="22" spans="1:21" x14ac:dyDescent="0.25">
      <c r="A22" s="34">
        <v>17</v>
      </c>
      <c r="B22" s="25" t="s">
        <v>48</v>
      </c>
      <c r="C22" s="26">
        <v>3526</v>
      </c>
      <c r="D22" s="27">
        <v>3363</v>
      </c>
      <c r="E22" s="27">
        <f>C22-D22</f>
        <v>163</v>
      </c>
      <c r="F22" s="28">
        <v>59</v>
      </c>
      <c r="G22" s="29">
        <v>56</v>
      </c>
      <c r="H22" s="29">
        <v>47</v>
      </c>
      <c r="I22" s="29">
        <v>50</v>
      </c>
      <c r="J22" s="29">
        <v>7</v>
      </c>
      <c r="K22" s="30">
        <v>7</v>
      </c>
      <c r="L22" s="26">
        <f t="shared" si="1"/>
        <v>226</v>
      </c>
      <c r="M22" s="31">
        <v>0</v>
      </c>
      <c r="N22" s="29">
        <v>0</v>
      </c>
      <c r="O22" s="29">
        <v>15</v>
      </c>
      <c r="P22" s="29">
        <v>14</v>
      </c>
      <c r="Q22" s="29">
        <v>142</v>
      </c>
      <c r="R22" s="30">
        <v>0</v>
      </c>
      <c r="S22" s="32">
        <v>163</v>
      </c>
      <c r="T22" s="26">
        <f t="shared" si="2"/>
        <v>334</v>
      </c>
      <c r="U22" s="33">
        <f t="shared" si="0"/>
        <v>3418</v>
      </c>
    </row>
    <row r="23" spans="1:21" x14ac:dyDescent="0.25">
      <c r="A23" s="34">
        <v>18</v>
      </c>
      <c r="B23" s="25" t="s">
        <v>49</v>
      </c>
      <c r="C23" s="26">
        <v>9401</v>
      </c>
      <c r="D23" s="27"/>
      <c r="E23" s="27"/>
      <c r="F23" s="28">
        <v>37</v>
      </c>
      <c r="G23" s="29">
        <v>28</v>
      </c>
      <c r="H23" s="29">
        <v>61</v>
      </c>
      <c r="I23" s="29">
        <v>48</v>
      </c>
      <c r="J23" s="29">
        <v>6</v>
      </c>
      <c r="K23" s="30">
        <v>116</v>
      </c>
      <c r="L23" s="26">
        <f t="shared" si="1"/>
        <v>296</v>
      </c>
      <c r="M23" s="31">
        <v>0</v>
      </c>
      <c r="N23" s="29">
        <v>1</v>
      </c>
      <c r="O23" s="29">
        <v>41</v>
      </c>
      <c r="P23" s="29">
        <v>54</v>
      </c>
      <c r="Q23" s="29">
        <v>111</v>
      </c>
      <c r="R23" s="30">
        <v>5</v>
      </c>
      <c r="S23" s="32">
        <v>0</v>
      </c>
      <c r="T23" s="26">
        <f t="shared" si="2"/>
        <v>212</v>
      </c>
      <c r="U23" s="33">
        <f t="shared" si="0"/>
        <v>9485</v>
      </c>
    </row>
    <row r="24" spans="1:21" x14ac:dyDescent="0.25">
      <c r="A24" s="34">
        <v>19</v>
      </c>
      <c r="B24" s="25" t="s">
        <v>50</v>
      </c>
      <c r="C24" s="26">
        <v>3123</v>
      </c>
      <c r="D24" s="27"/>
      <c r="E24" s="27"/>
      <c r="F24" s="28">
        <v>15</v>
      </c>
      <c r="G24" s="29">
        <v>16</v>
      </c>
      <c r="H24" s="29">
        <v>0</v>
      </c>
      <c r="I24" s="29">
        <v>14</v>
      </c>
      <c r="J24" s="29">
        <v>4</v>
      </c>
      <c r="K24" s="30">
        <v>25</v>
      </c>
      <c r="L24" s="26">
        <f t="shared" si="1"/>
        <v>74</v>
      </c>
      <c r="M24" s="31">
        <v>0</v>
      </c>
      <c r="N24" s="29">
        <v>0</v>
      </c>
      <c r="O24" s="29">
        <v>21</v>
      </c>
      <c r="P24" s="29">
        <v>23</v>
      </c>
      <c r="Q24" s="29">
        <v>16</v>
      </c>
      <c r="R24" s="30">
        <v>2</v>
      </c>
      <c r="S24" s="32">
        <v>0</v>
      </c>
      <c r="T24" s="26">
        <f t="shared" si="2"/>
        <v>62</v>
      </c>
      <c r="U24" s="33">
        <f t="shared" si="0"/>
        <v>3135</v>
      </c>
    </row>
    <row r="25" spans="1:21" x14ac:dyDescent="0.25">
      <c r="A25" s="34">
        <v>20</v>
      </c>
      <c r="B25" s="25" t="s">
        <v>51</v>
      </c>
      <c r="C25" s="26">
        <v>2955</v>
      </c>
      <c r="D25" s="27"/>
      <c r="E25" s="27"/>
      <c r="F25" s="28">
        <v>17</v>
      </c>
      <c r="G25" s="29">
        <v>22</v>
      </c>
      <c r="H25" s="29">
        <v>8</v>
      </c>
      <c r="I25" s="29">
        <v>9</v>
      </c>
      <c r="J25" s="29">
        <v>4</v>
      </c>
      <c r="K25" s="30">
        <v>47</v>
      </c>
      <c r="L25" s="26">
        <f t="shared" si="1"/>
        <v>107</v>
      </c>
      <c r="M25" s="31">
        <v>0</v>
      </c>
      <c r="N25" s="29">
        <v>0</v>
      </c>
      <c r="O25" s="29">
        <v>9</v>
      </c>
      <c r="P25" s="29">
        <v>9</v>
      </c>
      <c r="Q25" s="29">
        <v>53</v>
      </c>
      <c r="R25" s="30">
        <v>0</v>
      </c>
      <c r="S25" s="32">
        <v>0</v>
      </c>
      <c r="T25" s="26">
        <f t="shared" si="2"/>
        <v>71</v>
      </c>
      <c r="U25" s="33">
        <f t="shared" si="0"/>
        <v>2991</v>
      </c>
    </row>
    <row r="26" spans="1:21" x14ac:dyDescent="0.25">
      <c r="A26" s="34">
        <v>21</v>
      </c>
      <c r="B26" s="25" t="s">
        <v>52</v>
      </c>
      <c r="C26" s="46">
        <v>6695</v>
      </c>
      <c r="D26" s="52">
        <v>6791</v>
      </c>
      <c r="E26" s="52">
        <f>D26-C26</f>
        <v>96</v>
      </c>
      <c r="F26" s="53">
        <v>51</v>
      </c>
      <c r="G26" s="54">
        <v>50</v>
      </c>
      <c r="H26" s="54">
        <v>0</v>
      </c>
      <c r="I26" s="54">
        <v>0</v>
      </c>
      <c r="J26" s="54">
        <v>4</v>
      </c>
      <c r="K26" s="55">
        <f>103+E26</f>
        <v>199</v>
      </c>
      <c r="L26" s="26">
        <f t="shared" si="1"/>
        <v>304</v>
      </c>
      <c r="M26" s="56">
        <v>0</v>
      </c>
      <c r="N26" s="54">
        <v>0</v>
      </c>
      <c r="O26" s="54">
        <v>22</v>
      </c>
      <c r="P26" s="54">
        <v>17</v>
      </c>
      <c r="Q26" s="54">
        <v>18</v>
      </c>
      <c r="R26" s="57">
        <v>0</v>
      </c>
      <c r="S26" s="58">
        <v>0</v>
      </c>
      <c r="T26" s="46">
        <f t="shared" si="2"/>
        <v>57</v>
      </c>
      <c r="U26" s="59">
        <f t="shared" si="0"/>
        <v>6942</v>
      </c>
    </row>
    <row r="27" spans="1:21" x14ac:dyDescent="0.25">
      <c r="A27" s="34">
        <v>22</v>
      </c>
      <c r="B27" s="25" t="s">
        <v>53</v>
      </c>
      <c r="C27" s="46">
        <v>2487</v>
      </c>
      <c r="D27" s="27">
        <v>2435</v>
      </c>
      <c r="E27" s="27">
        <f>C27-D27</f>
        <v>52</v>
      </c>
      <c r="F27" s="28">
        <v>14</v>
      </c>
      <c r="G27" s="29">
        <v>21</v>
      </c>
      <c r="H27" s="29">
        <v>7</v>
      </c>
      <c r="I27" s="29">
        <v>8</v>
      </c>
      <c r="J27" s="29">
        <v>1</v>
      </c>
      <c r="K27" s="30">
        <v>10</v>
      </c>
      <c r="L27" s="26">
        <f t="shared" si="1"/>
        <v>61</v>
      </c>
      <c r="M27" s="31">
        <v>0</v>
      </c>
      <c r="N27" s="29">
        <v>0</v>
      </c>
      <c r="O27" s="29">
        <v>12</v>
      </c>
      <c r="P27" s="29">
        <v>22</v>
      </c>
      <c r="Q27" s="29">
        <v>4</v>
      </c>
      <c r="R27" s="30">
        <v>4</v>
      </c>
      <c r="S27" s="32">
        <v>52</v>
      </c>
      <c r="T27" s="26">
        <f t="shared" si="2"/>
        <v>94</v>
      </c>
      <c r="U27" s="33">
        <f t="shared" si="0"/>
        <v>2454</v>
      </c>
    </row>
    <row r="28" spans="1:21" x14ac:dyDescent="0.25">
      <c r="A28" s="34">
        <v>23</v>
      </c>
      <c r="B28" s="25" t="s">
        <v>54</v>
      </c>
      <c r="C28" s="26">
        <v>778</v>
      </c>
      <c r="D28" s="27">
        <v>793</v>
      </c>
      <c r="E28" s="27">
        <f>D28-C28</f>
        <v>15</v>
      </c>
      <c r="F28" s="28">
        <v>2</v>
      </c>
      <c r="G28" s="29">
        <v>5</v>
      </c>
      <c r="H28" s="29">
        <v>2</v>
      </c>
      <c r="I28" s="29">
        <v>1</v>
      </c>
      <c r="J28" s="29">
        <v>0</v>
      </c>
      <c r="K28" s="30">
        <v>15</v>
      </c>
      <c r="L28" s="26">
        <f>SUM(F28:K28)</f>
        <v>25</v>
      </c>
      <c r="M28" s="31">
        <v>0</v>
      </c>
      <c r="N28" s="29">
        <v>0</v>
      </c>
      <c r="O28" s="29">
        <v>4</v>
      </c>
      <c r="P28" s="29">
        <v>7</v>
      </c>
      <c r="Q28" s="29">
        <v>1</v>
      </c>
      <c r="R28" s="30">
        <v>4</v>
      </c>
      <c r="S28" s="32">
        <v>0</v>
      </c>
      <c r="T28" s="26">
        <f>SUM(M28:S28)</f>
        <v>16</v>
      </c>
      <c r="U28" s="33">
        <f t="shared" si="0"/>
        <v>787</v>
      </c>
    </row>
    <row r="29" spans="1:21" x14ac:dyDescent="0.25">
      <c r="A29" s="34">
        <v>24</v>
      </c>
      <c r="B29" s="25" t="s">
        <v>55</v>
      </c>
      <c r="C29" s="26">
        <v>3614</v>
      </c>
      <c r="D29" s="27">
        <v>3612</v>
      </c>
      <c r="E29" s="27">
        <f>C29-D29</f>
        <v>2</v>
      </c>
      <c r="F29" s="28">
        <v>22</v>
      </c>
      <c r="G29" s="29">
        <v>27</v>
      </c>
      <c r="H29" s="29">
        <v>7</v>
      </c>
      <c r="I29" s="29">
        <v>9</v>
      </c>
      <c r="J29" s="29">
        <v>2</v>
      </c>
      <c r="K29" s="30">
        <v>25</v>
      </c>
      <c r="L29" s="26">
        <f t="shared" si="1"/>
        <v>92</v>
      </c>
      <c r="M29" s="31">
        <v>1</v>
      </c>
      <c r="N29" s="29">
        <v>0</v>
      </c>
      <c r="O29" s="29">
        <v>18</v>
      </c>
      <c r="P29" s="29">
        <v>18</v>
      </c>
      <c r="Q29" s="29">
        <v>0</v>
      </c>
      <c r="R29" s="30">
        <v>0</v>
      </c>
      <c r="S29" s="32">
        <v>2</v>
      </c>
      <c r="T29" s="26">
        <f t="shared" si="2"/>
        <v>39</v>
      </c>
      <c r="U29" s="33">
        <f t="shared" si="0"/>
        <v>3667</v>
      </c>
    </row>
    <row r="30" spans="1:21" x14ac:dyDescent="0.25">
      <c r="A30" s="34">
        <v>25</v>
      </c>
      <c r="B30" s="25" t="s">
        <v>56</v>
      </c>
      <c r="C30" s="26">
        <v>1033</v>
      </c>
      <c r="D30" s="27"/>
      <c r="E30" s="27"/>
      <c r="F30" s="28"/>
      <c r="G30" s="29"/>
      <c r="H30" s="29"/>
      <c r="I30" s="29"/>
      <c r="J30" s="29"/>
      <c r="K30" s="30"/>
      <c r="L30" s="26">
        <f t="shared" si="1"/>
        <v>0</v>
      </c>
      <c r="M30" s="31"/>
      <c r="N30" s="29"/>
      <c r="O30" s="29"/>
      <c r="P30" s="29"/>
      <c r="Q30" s="29"/>
      <c r="R30" s="30"/>
      <c r="S30" s="32"/>
      <c r="T30" s="26">
        <f t="shared" si="2"/>
        <v>0</v>
      </c>
      <c r="U30" s="33">
        <f t="shared" si="0"/>
        <v>1033</v>
      </c>
    </row>
    <row r="31" spans="1:21" x14ac:dyDescent="0.25">
      <c r="A31" s="34">
        <v>26</v>
      </c>
      <c r="B31" s="25" t="s">
        <v>57</v>
      </c>
      <c r="C31" s="26">
        <v>2715</v>
      </c>
      <c r="D31" s="27">
        <v>2610</v>
      </c>
      <c r="E31" s="27">
        <f>C31-D31</f>
        <v>105</v>
      </c>
      <c r="F31" s="28">
        <v>20</v>
      </c>
      <c r="G31" s="29">
        <v>29</v>
      </c>
      <c r="H31" s="29">
        <v>10</v>
      </c>
      <c r="I31" s="29">
        <v>17</v>
      </c>
      <c r="J31" s="29">
        <v>7</v>
      </c>
      <c r="K31" s="30">
        <v>0</v>
      </c>
      <c r="L31" s="26">
        <f t="shared" si="1"/>
        <v>83</v>
      </c>
      <c r="M31" s="31">
        <v>9</v>
      </c>
      <c r="N31" s="29">
        <v>8</v>
      </c>
      <c r="O31" s="29">
        <v>0</v>
      </c>
      <c r="P31" s="29">
        <v>0</v>
      </c>
      <c r="Q31" s="29">
        <v>27</v>
      </c>
      <c r="R31" s="30">
        <v>0</v>
      </c>
      <c r="S31" s="32">
        <v>105</v>
      </c>
      <c r="T31" s="26">
        <f t="shared" si="2"/>
        <v>149</v>
      </c>
      <c r="U31" s="33">
        <f t="shared" si="0"/>
        <v>2649</v>
      </c>
    </row>
    <row r="32" spans="1:21" x14ac:dyDescent="0.25">
      <c r="A32" s="34">
        <v>27</v>
      </c>
      <c r="B32" s="25" t="s">
        <v>58</v>
      </c>
      <c r="C32" s="26">
        <v>2783</v>
      </c>
      <c r="D32" s="27"/>
      <c r="E32" s="27"/>
      <c r="F32" s="28">
        <v>14</v>
      </c>
      <c r="G32" s="29">
        <v>12</v>
      </c>
      <c r="H32" s="29">
        <v>2</v>
      </c>
      <c r="I32" s="29">
        <v>2</v>
      </c>
      <c r="J32" s="29">
        <v>2</v>
      </c>
      <c r="K32" s="30">
        <v>16</v>
      </c>
      <c r="L32" s="26">
        <f t="shared" si="1"/>
        <v>48</v>
      </c>
      <c r="M32" s="31">
        <v>0</v>
      </c>
      <c r="N32" s="29">
        <v>0</v>
      </c>
      <c r="O32" s="29">
        <v>20</v>
      </c>
      <c r="P32" s="29">
        <v>12</v>
      </c>
      <c r="Q32" s="29">
        <v>6</v>
      </c>
      <c r="R32" s="30">
        <v>2</v>
      </c>
      <c r="S32" s="32">
        <v>0</v>
      </c>
      <c r="T32" s="26">
        <f t="shared" si="2"/>
        <v>40</v>
      </c>
      <c r="U32" s="33">
        <f t="shared" si="0"/>
        <v>2791</v>
      </c>
    </row>
    <row r="33" spans="1:21" x14ac:dyDescent="0.25">
      <c r="A33" s="34">
        <v>28</v>
      </c>
      <c r="B33" s="25" t="s">
        <v>59</v>
      </c>
      <c r="C33" s="26">
        <v>11826</v>
      </c>
      <c r="D33" s="27"/>
      <c r="E33" s="27"/>
      <c r="F33" s="28">
        <v>86</v>
      </c>
      <c r="G33" s="29">
        <v>82</v>
      </c>
      <c r="H33" s="29">
        <v>20</v>
      </c>
      <c r="I33" s="29">
        <v>36</v>
      </c>
      <c r="J33" s="29">
        <v>8</v>
      </c>
      <c r="K33" s="30">
        <v>151</v>
      </c>
      <c r="L33" s="26">
        <f t="shared" si="1"/>
        <v>383</v>
      </c>
      <c r="M33" s="31">
        <v>0</v>
      </c>
      <c r="N33" s="29">
        <v>0</v>
      </c>
      <c r="O33" s="29">
        <v>35</v>
      </c>
      <c r="P33" s="29">
        <v>29</v>
      </c>
      <c r="Q33" s="29">
        <v>63</v>
      </c>
      <c r="R33" s="30">
        <v>6</v>
      </c>
      <c r="S33" s="32">
        <v>0</v>
      </c>
      <c r="T33" s="26">
        <f t="shared" si="2"/>
        <v>133</v>
      </c>
      <c r="U33" s="33">
        <f t="shared" si="0"/>
        <v>12076</v>
      </c>
    </row>
    <row r="34" spans="1:21" x14ac:dyDescent="0.25">
      <c r="A34" s="34">
        <v>29</v>
      </c>
      <c r="B34" s="25" t="s">
        <v>60</v>
      </c>
      <c r="C34" s="46">
        <v>4095</v>
      </c>
      <c r="D34" s="27"/>
      <c r="E34" s="49"/>
      <c r="F34" s="28">
        <v>24</v>
      </c>
      <c r="G34" s="29">
        <v>30</v>
      </c>
      <c r="H34" s="29">
        <v>3</v>
      </c>
      <c r="I34" s="29">
        <v>6</v>
      </c>
      <c r="J34" s="29">
        <v>3</v>
      </c>
      <c r="K34" s="30">
        <v>65</v>
      </c>
      <c r="L34" s="26">
        <f t="shared" si="1"/>
        <v>131</v>
      </c>
      <c r="M34" s="31">
        <v>0</v>
      </c>
      <c r="N34" s="29">
        <v>1</v>
      </c>
      <c r="O34" s="29">
        <v>25</v>
      </c>
      <c r="P34" s="29">
        <v>31</v>
      </c>
      <c r="Q34" s="29">
        <v>36</v>
      </c>
      <c r="R34" s="30">
        <v>0</v>
      </c>
      <c r="S34" s="32">
        <v>0</v>
      </c>
      <c r="T34" s="26">
        <f t="shared" si="2"/>
        <v>93</v>
      </c>
      <c r="U34" s="33">
        <f t="shared" si="0"/>
        <v>4133</v>
      </c>
    </row>
    <row r="35" spans="1:21" x14ac:dyDescent="0.25">
      <c r="A35" s="34">
        <v>30</v>
      </c>
      <c r="B35" s="25" t="s">
        <v>61</v>
      </c>
      <c r="C35" s="26">
        <v>2681</v>
      </c>
      <c r="D35" s="27"/>
      <c r="E35" s="49"/>
      <c r="F35" s="28">
        <v>9</v>
      </c>
      <c r="G35" s="29">
        <v>6</v>
      </c>
      <c r="H35" s="29">
        <v>8</v>
      </c>
      <c r="I35" s="29">
        <v>6</v>
      </c>
      <c r="J35" s="29">
        <v>1</v>
      </c>
      <c r="K35" s="30">
        <v>0</v>
      </c>
      <c r="L35" s="26">
        <f t="shared" si="1"/>
        <v>30</v>
      </c>
      <c r="M35" s="31">
        <v>0</v>
      </c>
      <c r="N35" s="29">
        <v>0</v>
      </c>
      <c r="O35" s="29">
        <v>21</v>
      </c>
      <c r="P35" s="29">
        <v>14</v>
      </c>
      <c r="Q35" s="29">
        <v>26</v>
      </c>
      <c r="R35" s="30">
        <v>4</v>
      </c>
      <c r="S35" s="32">
        <v>0</v>
      </c>
      <c r="T35" s="26">
        <f t="shared" si="2"/>
        <v>65</v>
      </c>
      <c r="U35" s="33">
        <f t="shared" si="0"/>
        <v>2646</v>
      </c>
    </row>
    <row r="36" spans="1:21" x14ac:dyDescent="0.25">
      <c r="A36" s="34">
        <v>31</v>
      </c>
      <c r="B36" s="25" t="s">
        <v>62</v>
      </c>
      <c r="C36" s="46">
        <v>3835</v>
      </c>
      <c r="D36" s="27"/>
      <c r="E36" s="49"/>
      <c r="F36" s="28">
        <v>19</v>
      </c>
      <c r="G36" s="29">
        <v>27</v>
      </c>
      <c r="H36" s="29">
        <v>4</v>
      </c>
      <c r="I36" s="29">
        <v>8</v>
      </c>
      <c r="J36" s="29">
        <v>2</v>
      </c>
      <c r="K36" s="30">
        <v>9</v>
      </c>
      <c r="L36" s="26">
        <f>SUM(F36:K36)</f>
        <v>69</v>
      </c>
      <c r="M36" s="31">
        <v>1</v>
      </c>
      <c r="N36" s="29">
        <v>2</v>
      </c>
      <c r="O36" s="29">
        <v>18</v>
      </c>
      <c r="P36" s="29">
        <v>15</v>
      </c>
      <c r="Q36" s="29">
        <v>11</v>
      </c>
      <c r="R36" s="30">
        <v>1</v>
      </c>
      <c r="S36" s="32">
        <v>0</v>
      </c>
      <c r="T36" s="26">
        <f t="shared" si="2"/>
        <v>48</v>
      </c>
      <c r="U36" s="33">
        <f t="shared" si="0"/>
        <v>3856</v>
      </c>
    </row>
    <row r="37" spans="1:21" x14ac:dyDescent="0.25">
      <c r="A37" s="34">
        <v>32</v>
      </c>
      <c r="B37" s="25" t="s">
        <v>63</v>
      </c>
      <c r="C37" s="26">
        <v>5072</v>
      </c>
      <c r="D37" s="27"/>
      <c r="E37" s="27"/>
      <c r="F37" s="28">
        <v>34</v>
      </c>
      <c r="G37" s="29">
        <v>27</v>
      </c>
      <c r="H37" s="29">
        <v>10</v>
      </c>
      <c r="I37" s="29">
        <v>19</v>
      </c>
      <c r="J37" s="29">
        <v>4</v>
      </c>
      <c r="K37" s="30">
        <v>42</v>
      </c>
      <c r="L37" s="26">
        <f t="shared" si="1"/>
        <v>136</v>
      </c>
      <c r="M37" s="31">
        <v>0</v>
      </c>
      <c r="N37" s="29">
        <v>0</v>
      </c>
      <c r="O37" s="29">
        <v>36</v>
      </c>
      <c r="P37" s="29">
        <v>24</v>
      </c>
      <c r="Q37" s="29">
        <v>25</v>
      </c>
      <c r="R37" s="30">
        <v>10</v>
      </c>
      <c r="S37" s="32">
        <v>0</v>
      </c>
      <c r="T37" s="26">
        <f t="shared" si="2"/>
        <v>95</v>
      </c>
      <c r="U37" s="33">
        <f t="shared" si="0"/>
        <v>5113</v>
      </c>
    </row>
    <row r="38" spans="1:21" ht="15.75" thickBot="1" x14ac:dyDescent="0.3">
      <c r="A38" s="60">
        <v>33</v>
      </c>
      <c r="B38" s="61" t="s">
        <v>64</v>
      </c>
      <c r="C38" s="62">
        <v>3263</v>
      </c>
      <c r="D38" s="63">
        <v>3212</v>
      </c>
      <c r="E38" s="64">
        <f>C38-D38</f>
        <v>51</v>
      </c>
      <c r="F38" s="65">
        <v>15</v>
      </c>
      <c r="G38" s="66">
        <v>9</v>
      </c>
      <c r="H38" s="66">
        <v>3</v>
      </c>
      <c r="I38" s="67">
        <v>1</v>
      </c>
      <c r="J38" s="66">
        <v>1</v>
      </c>
      <c r="K38" s="66">
        <v>15</v>
      </c>
      <c r="L38" s="68">
        <f t="shared" si="1"/>
        <v>44</v>
      </c>
      <c r="M38" s="69">
        <v>0</v>
      </c>
      <c r="N38" s="66">
        <v>0</v>
      </c>
      <c r="O38" s="66">
        <v>28</v>
      </c>
      <c r="P38" s="66">
        <v>21</v>
      </c>
      <c r="Q38" s="66">
        <v>18</v>
      </c>
      <c r="R38" s="66">
        <v>14</v>
      </c>
      <c r="S38" s="70">
        <v>51</v>
      </c>
      <c r="T38" s="68">
        <f t="shared" si="2"/>
        <v>132</v>
      </c>
      <c r="U38" s="71">
        <f t="shared" si="0"/>
        <v>3175</v>
      </c>
    </row>
    <row r="39" spans="1:21" x14ac:dyDescent="0.25">
      <c r="A39" s="72"/>
      <c r="B39" s="73" t="s">
        <v>8</v>
      </c>
      <c r="C39" s="74">
        <f>SUM(C6:C38)</f>
        <v>142856</v>
      </c>
      <c r="D39" s="75">
        <f>SUM(D7:D38)</f>
        <v>41602</v>
      </c>
      <c r="E39" s="76">
        <f>SUM(E7:E38)</f>
        <v>689</v>
      </c>
      <c r="F39" s="76">
        <f t="shared" ref="F39:U39" si="3">SUM(F6:F38)</f>
        <v>874</v>
      </c>
      <c r="G39" s="77">
        <f t="shared" si="3"/>
        <v>865</v>
      </c>
      <c r="H39" s="77">
        <f t="shared" si="3"/>
        <v>323</v>
      </c>
      <c r="I39" s="77">
        <f t="shared" si="3"/>
        <v>407</v>
      </c>
      <c r="J39" s="77">
        <f t="shared" si="3"/>
        <v>106</v>
      </c>
      <c r="K39" s="77">
        <f t="shared" si="3"/>
        <v>1690</v>
      </c>
      <c r="L39" s="74">
        <f t="shared" si="3"/>
        <v>4265</v>
      </c>
      <c r="M39" s="78">
        <f t="shared" si="3"/>
        <v>53</v>
      </c>
      <c r="N39" s="77">
        <f t="shared" si="3"/>
        <v>58</v>
      </c>
      <c r="O39" s="77">
        <f t="shared" si="3"/>
        <v>662</v>
      </c>
      <c r="P39" s="77">
        <f t="shared" si="3"/>
        <v>659</v>
      </c>
      <c r="Q39" s="77">
        <f t="shared" si="3"/>
        <v>1367</v>
      </c>
      <c r="R39" s="77">
        <f t="shared" si="3"/>
        <v>84</v>
      </c>
      <c r="S39" s="77">
        <f t="shared" si="3"/>
        <v>572</v>
      </c>
      <c r="T39" s="74">
        <f t="shared" si="3"/>
        <v>3455</v>
      </c>
      <c r="U39" s="79">
        <f t="shared" si="3"/>
        <v>143666</v>
      </c>
    </row>
    <row r="40" spans="1:21" ht="15.75" thickBot="1" x14ac:dyDescent="0.3">
      <c r="A40" s="80"/>
      <c r="B40" s="81"/>
      <c r="C40" s="82"/>
      <c r="D40" s="83"/>
      <c r="E40" s="84"/>
      <c r="F40" s="85"/>
      <c r="G40" s="86"/>
      <c r="H40" s="86"/>
      <c r="I40" s="86"/>
      <c r="J40" s="86"/>
      <c r="K40" s="87"/>
      <c r="L40" s="82"/>
      <c r="M40" s="85"/>
      <c r="N40" s="86"/>
      <c r="O40" s="86"/>
      <c r="P40" s="86"/>
      <c r="Q40" s="86"/>
      <c r="R40" s="86"/>
      <c r="S40" s="87"/>
      <c r="T40" s="82"/>
      <c r="U40" s="88"/>
    </row>
    <row r="41" spans="1:21" ht="15.75" thickTop="1" x14ac:dyDescent="0.25">
      <c r="A41" s="2" t="s">
        <v>65</v>
      </c>
      <c r="B41" s="8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</sheetData>
  <mergeCells count="13">
    <mergeCell ref="H4:I4"/>
    <mergeCell ref="O4:P4"/>
    <mergeCell ref="S4:S5"/>
    <mergeCell ref="A1:U1"/>
    <mergeCell ref="A3:A5"/>
    <mergeCell ref="B3:B5"/>
    <mergeCell ref="C3:C5"/>
    <mergeCell ref="F3:I3"/>
    <mergeCell ref="J3:K3"/>
    <mergeCell ref="M3:P3"/>
    <mergeCell ref="Q3:R3"/>
    <mergeCell ref="U3:U5"/>
    <mergeCell ref="F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4"/>
  <sheetViews>
    <sheetView tabSelected="1" workbookViewId="0">
      <selection activeCell="B8" sqref="B8"/>
    </sheetView>
  </sheetViews>
  <sheetFormatPr defaultRowHeight="15" x14ac:dyDescent="0.25"/>
  <cols>
    <col min="1" max="1" width="11" bestFit="1" customWidth="1"/>
    <col min="2" max="2" width="10" bestFit="1" customWidth="1"/>
    <col min="3" max="3" width="20.7109375" bestFit="1" customWidth="1"/>
    <col min="4" max="4" width="23.5703125" bestFit="1" customWidth="1"/>
  </cols>
  <sheetData>
    <row r="4" spans="1:4" x14ac:dyDescent="0.25">
      <c r="A4" t="s">
        <v>66</v>
      </c>
      <c r="B4" t="s">
        <v>67</v>
      </c>
      <c r="C4" t="s">
        <v>68</v>
      </c>
      <c r="D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USER_01</dc:creator>
  <cp:lastModifiedBy>Krisostomus Nova Rahmanto</cp:lastModifiedBy>
  <dcterms:created xsi:type="dcterms:W3CDTF">2015-08-25T04:00:25Z</dcterms:created>
  <dcterms:modified xsi:type="dcterms:W3CDTF">2019-02-10T16:42:48Z</dcterms:modified>
</cp:coreProperties>
</file>