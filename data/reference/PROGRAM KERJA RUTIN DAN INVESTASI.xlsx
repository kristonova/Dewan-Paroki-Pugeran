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Dewan Paroki Pugeran\"/>
    </mc:Choice>
  </mc:AlternateContent>
  <bookViews>
    <workbookView xWindow="240" yWindow="150" windowWidth="15600" windowHeight="7935"/>
  </bookViews>
  <sheets>
    <sheet name="Litbang" sheetId="1" r:id="rId1"/>
    <sheet name="2017" sheetId="5" r:id="rId2"/>
    <sheet name="KERAMAS" sheetId="6" r:id="rId3"/>
  </sheets>
  <calcPr calcId="162913"/>
</workbook>
</file>

<file path=xl/calcChain.xml><?xml version="1.0" encoding="utf-8"?>
<calcChain xmlns="http://schemas.openxmlformats.org/spreadsheetml/2006/main">
  <c r="N14" i="6" l="1"/>
  <c r="M14" i="6"/>
  <c r="L14" i="6"/>
  <c r="K14" i="6"/>
  <c r="J13" i="6"/>
  <c r="J14" i="6" s="1"/>
  <c r="N94" i="5" l="1"/>
  <c r="N106" i="5" s="1"/>
  <c r="M94" i="5"/>
  <c r="M106" i="5" s="1"/>
  <c r="L94" i="5"/>
  <c r="L106" i="5" s="1"/>
  <c r="K94" i="5"/>
  <c r="K106" i="5" s="1"/>
  <c r="J93" i="5"/>
  <c r="J94" i="5" s="1"/>
  <c r="J106" i="5" s="1"/>
  <c r="N77" i="5"/>
  <c r="N105" i="5" s="1"/>
  <c r="M77" i="5"/>
  <c r="M105" i="5" s="1"/>
  <c r="L77" i="5"/>
  <c r="L105" i="5" s="1"/>
  <c r="K77" i="5"/>
  <c r="K105" i="5" s="1"/>
  <c r="J76" i="5"/>
  <c r="J75" i="5"/>
  <c r="J74" i="5"/>
  <c r="N65" i="5"/>
  <c r="N104" i="5" s="1"/>
  <c r="M65" i="5"/>
  <c r="M104" i="5" s="1"/>
  <c r="K65" i="5"/>
  <c r="K104" i="5" s="1"/>
  <c r="J64" i="5"/>
  <c r="L62" i="5"/>
  <c r="J62" i="5" s="1"/>
  <c r="L61" i="5"/>
  <c r="L65" i="5" s="1"/>
  <c r="L104" i="5" s="1"/>
  <c r="J60" i="5"/>
  <c r="J59" i="5"/>
  <c r="N50" i="5"/>
  <c r="N103" i="5" s="1"/>
  <c r="M50" i="5"/>
  <c r="M103" i="5" s="1"/>
  <c r="L50" i="5"/>
  <c r="L103" i="5" s="1"/>
  <c r="K50" i="5"/>
  <c r="K103" i="5" s="1"/>
  <c r="J48" i="5"/>
  <c r="J47" i="5"/>
  <c r="J46" i="5"/>
  <c r="N36" i="5"/>
  <c r="M36" i="5"/>
  <c r="L36" i="5"/>
  <c r="L102" i="5" s="1"/>
  <c r="K36" i="5"/>
  <c r="K102" i="5" s="1"/>
  <c r="J36" i="5"/>
  <c r="J102" i="5" s="1"/>
  <c r="N21" i="5"/>
  <c r="M21" i="5"/>
  <c r="K21" i="5"/>
  <c r="K101" i="5" s="1"/>
  <c r="J20" i="5"/>
  <c r="J19" i="5"/>
  <c r="J18" i="5"/>
  <c r="J17" i="5"/>
  <c r="J16" i="5"/>
  <c r="J15" i="5"/>
  <c r="N8" i="5"/>
  <c r="M8" i="5"/>
  <c r="L8" i="5"/>
  <c r="L100" i="5" s="1"/>
  <c r="K8" i="5"/>
  <c r="K100" i="5" s="1"/>
  <c r="J5" i="5"/>
  <c r="J8" i="5" s="1"/>
  <c r="J100" i="5" s="1"/>
  <c r="J50" i="5" l="1"/>
  <c r="J103" i="5" s="1"/>
  <c r="N107" i="5"/>
  <c r="J61" i="5"/>
  <c r="J65" i="5" s="1"/>
  <c r="J104" i="5" s="1"/>
  <c r="J77" i="5"/>
  <c r="J105" i="5" s="1"/>
  <c r="K107" i="5"/>
  <c r="J21" i="5"/>
  <c r="J101" i="5" s="1"/>
  <c r="M107" i="5"/>
  <c r="L21" i="5"/>
  <c r="L101" i="5" s="1"/>
  <c r="L107" i="5" s="1"/>
  <c r="J107" i="5" l="1"/>
  <c r="J5" i="1" l="1"/>
  <c r="N25" i="1" l="1"/>
  <c r="M25" i="1"/>
  <c r="L25" i="1"/>
  <c r="K25" i="1"/>
  <c r="J25" i="1"/>
  <c r="N16" i="1" l="1"/>
  <c r="M16" i="1"/>
  <c r="L16" i="1"/>
  <c r="K16" i="1"/>
  <c r="J16" i="1" l="1"/>
  <c r="N8" i="1" l="1"/>
  <c r="M8" i="1"/>
  <c r="K8" i="1"/>
  <c r="L8" i="1" l="1"/>
  <c r="J8" i="1" l="1"/>
</calcChain>
</file>

<file path=xl/sharedStrings.xml><?xml version="1.0" encoding="utf-8"?>
<sst xmlns="http://schemas.openxmlformats.org/spreadsheetml/2006/main" count="408" uniqueCount="183">
  <si>
    <t>Indikasi</t>
  </si>
  <si>
    <t>Target</t>
  </si>
  <si>
    <t>Nomor</t>
  </si>
  <si>
    <t>Keterangan</t>
  </si>
  <si>
    <t>Pendanaan</t>
  </si>
  <si>
    <t>Waktu Pelaksanaan</t>
  </si>
  <si>
    <t>Total</t>
  </si>
  <si>
    <t>Swadaya</t>
  </si>
  <si>
    <t>Paroki</t>
  </si>
  <si>
    <t xml:space="preserve"> </t>
  </si>
  <si>
    <t>Juni</t>
  </si>
  <si>
    <t>Bulan</t>
  </si>
  <si>
    <t>Tanggal</t>
  </si>
  <si>
    <t>Membangun 
komunikasi</t>
  </si>
  <si>
    <t>Dana, Pemesanan pembuatan spanduk</t>
  </si>
  <si>
    <t>Pemasangan spanduk ucapan "Selamat Idhul Fitri" di gereja pusat dan gereja wilayah</t>
  </si>
  <si>
    <t>Jumlah:</t>
  </si>
  <si>
    <t>Faktor Sukses 
Kunci</t>
  </si>
  <si>
    <t>Sasaran 
Strategik</t>
  </si>
  <si>
    <t>Tolok Ukur 
Keberhasilan</t>
  </si>
  <si>
    <t>Sumber 
lain</t>
  </si>
  <si>
    <t>GW. Padokan</t>
  </si>
  <si>
    <t>GW.  Sempu</t>
  </si>
  <si>
    <t>GBM</t>
  </si>
  <si>
    <t>Pemasangan spanduk ucapan Selamat Hari Besar Agama lain</t>
  </si>
  <si>
    <t>GW. Bangunharjo</t>
  </si>
  <si>
    <t>Program Kerja</t>
  </si>
  <si>
    <t>Sub
sidi</t>
  </si>
  <si>
    <t>Adanya jaringan komunikasi yang baik antara tim HAK agama lain</t>
  </si>
  <si>
    <t>Kunjungan/Silahturahmi dengan agama lain</t>
  </si>
  <si>
    <t>Jadwal Kunjungan</t>
  </si>
  <si>
    <t>Jumlah Biaya:</t>
  </si>
  <si>
    <t xml:space="preserve">PROGRAM KERJA DAN INVESTASI 2017
BIDANG PELAYANAN KEMASYRAKATAN, PAROKI HATI KUDUS TUHAN YESUS PUGERAN </t>
  </si>
  <si>
    <t>Indikator</t>
  </si>
  <si>
    <t>Meningkatnya kesehatan
umat Paroki Pugeran</t>
  </si>
  <si>
    <t>1. Jumlah umat yang sehat bertambah</t>
  </si>
  <si>
    <t>85%</t>
  </si>
  <si>
    <t>1. Ada petugas 
    kesehatan
2. Ada tempat
3. Dana dan sarana</t>
  </si>
  <si>
    <t>Rutin sebulan sekali</t>
  </si>
  <si>
    <t>1. Pemeriksaan 
    kesehatan
    rutin, pengobatan
2. Pemeriksaan  
    Laboraturium</t>
  </si>
  <si>
    <t>Tiap minggu ke II</t>
  </si>
  <si>
    <t>Tersedia Tenaga 
kesehatan di Paroki</t>
  </si>
  <si>
    <t>1. Petugas dan dana</t>
  </si>
  <si>
    <t>Tenaga aktif/
terlibat</t>
  </si>
  <si>
    <t>Pertemuan dengan Timja</t>
  </si>
  <si>
    <t>Fisioner</t>
  </si>
  <si>
    <t>Terlaksananya Pelatihan
Kesehatan</t>
  </si>
  <si>
    <t>1. Ada pemateri</t>
  </si>
  <si>
    <t>Ketrampilan tentang kesehatan meningkat</t>
  </si>
  <si>
    <t>Pelatihan Kesehatan</t>
  </si>
  <si>
    <t>per peserta 10.0000</t>
  </si>
  <si>
    <t>Oktober/
Nopember</t>
  </si>
  <si>
    <t>Terlaksananya 
Penyuluhan kesehatan 
Lansia</t>
  </si>
  <si>
    <t>Meningkatnya 
pemahamanpola 
hidup sehat</t>
  </si>
  <si>
    <t>Melaksanakan Penyuluhan kesehatan 
Lansia</t>
  </si>
  <si>
    <t>per peserta 7.000</t>
  </si>
  <si>
    <t>Agustus</t>
  </si>
  <si>
    <t>Konsolidasi tim PSE</t>
  </si>
  <si>
    <t>Tim PSE</t>
  </si>
  <si>
    <t>Terbentuknya Tim PSE yang lengkap</t>
  </si>
  <si>
    <t>20</t>
  </si>
  <si>
    <t>1 orang utusan wilayah</t>
  </si>
  <si>
    <t>Melengkapi Tim PSE</t>
  </si>
  <si>
    <t>Tersedianya Buku pedoman PSE</t>
  </si>
  <si>
    <t>Terselesainya buku ADART PSE</t>
  </si>
  <si>
    <t>Ada buku pedoman</t>
  </si>
  <si>
    <t>2. Sosialisasi buku pedoman kepada PSE lingkungan</t>
  </si>
  <si>
    <t>1. Penyusunan buku pedoman PSE</t>
  </si>
  <si>
    <t>Tepahaminya buku pedoman kerja</t>
  </si>
  <si>
    <t>Tepahaminya buku pedoman kerja oleh tim PSE lingkungan</t>
  </si>
  <si>
    <t>Meningkatnya pertemuan rutin</t>
  </si>
  <si>
    <t>Dana, petugas</t>
  </si>
  <si>
    <t>Tim hadir</t>
  </si>
  <si>
    <t>Pertemuan rutin</t>
  </si>
  <si>
    <t xml:space="preserve">Setiap bulan
2 kali </t>
  </si>
  <si>
    <t>Seni I dan
III</t>
  </si>
  <si>
    <t>Februari</t>
  </si>
  <si>
    <t>Maret</t>
  </si>
  <si>
    <t>Meningkatnya pemahaman umat tentang pentingnya bela rasa khususnya pada peristiwa kematian</t>
  </si>
  <si>
    <t>Petugas, dana</t>
  </si>
  <si>
    <t>Petugas dan dana</t>
  </si>
  <si>
    <t>Pertemuan ketua lingkungan dan petugas pengumpul dana untuk monitoring dan evaluasi</t>
  </si>
  <si>
    <t>Pebruari</t>
  </si>
  <si>
    <t>terlaksananya monitoring dan evaluasi kerja</t>
  </si>
  <si>
    <t>Rapat Interm</t>
  </si>
  <si>
    <t>setiap bulan</t>
  </si>
  <si>
    <t>meningkatnya ketersediaan dana kematian</t>
  </si>
  <si>
    <t>Peserta dan dana</t>
  </si>
  <si>
    <t>89 link.</t>
  </si>
  <si>
    <t>terselenggarany HUT Imamat para Romo di Paroki Pugeran</t>
  </si>
  <si>
    <t>4 romo</t>
  </si>
  <si>
    <t>misa syukur</t>
  </si>
  <si>
    <t>Juni-Agustus dan Des</t>
  </si>
  <si>
    <t>terselenggaranya pesta nama St Pelindung Papanca</t>
  </si>
  <si>
    <t>rekoleksi dengan tema 'perna keluarga dalam tumbuhnya panggilan'</t>
  </si>
  <si>
    <t xml:space="preserve">Maret </t>
  </si>
  <si>
    <t>Minggu Panggilan</t>
  </si>
  <si>
    <t>Tersampaikannya   pemahaman akan arti panggilan kepada umat</t>
  </si>
  <si>
    <t>April</t>
  </si>
  <si>
    <t xml:space="preserve">terselenggarany misa arwah untuk para romo </t>
  </si>
  <si>
    <t>misa arwah untuk para romo yang pernah berkarya di Pugeran yang dimakamkan di Kentungan</t>
  </si>
  <si>
    <t>November</t>
  </si>
  <si>
    <t>terselenggaranya rapat rutin</t>
  </si>
  <si>
    <t>rapat konsolidasi rapat rutin, pertemuan rutin</t>
  </si>
  <si>
    <t>adanya rasa kebersamaan dalam satu iman</t>
  </si>
  <si>
    <t>terselenggarnya misa syukur</t>
  </si>
  <si>
    <t>Tersedianya kader-kader umat untuk menjadi tokoh di masyarakat</t>
  </si>
  <si>
    <t>Kader, manajemen, pengalaman, modul</t>
  </si>
  <si>
    <t>tersedianya kader terlatih, tersedianya modul kepelatihan, ada tim pendampingan</t>
  </si>
  <si>
    <t>terbentuknya kader-2 , modul.  Adanya pendampingan 5 orang</t>
  </si>
  <si>
    <t>terselenggaranya pelatihan</t>
  </si>
  <si>
    <t>tersedianya jaringan aktivis masyarakat</t>
  </si>
  <si>
    <t xml:space="preserve">Data aktivis, adanya jaringan, adanya komunikasi </t>
  </si>
  <si>
    <t>tersusunnya data aktivis, terbentuk jaringan, terjalin komunikasi</t>
  </si>
  <si>
    <t>tersedianya Data aktivis, terbentuk wadah jaringan</t>
  </si>
  <si>
    <t>terselenggaranya pertemuan berkala</t>
  </si>
  <si>
    <t>Terciptanya kepekaan umat pada isu2 sosial kemasyarakatan</t>
  </si>
  <si>
    <t>Adanya jaringan aktivis, PK4, KKPC</t>
  </si>
  <si>
    <t>pembuatan Media Pendidikan Kemasyarakatan, terselenggaranya sarasehan pendidikan kemasyarakatan</t>
  </si>
  <si>
    <t>Sept'17</t>
  </si>
  <si>
    <t>April,Agustus,Des'16</t>
  </si>
  <si>
    <t>Maret '17</t>
  </si>
  <si>
    <t>7 Feb'17</t>
  </si>
  <si>
    <t>terselenggaranya sarasehan pendidikan kemasyarakatan</t>
  </si>
  <si>
    <t>75 % peserta hadir {Kalingk}</t>
  </si>
  <si>
    <t>terbitnya Media Pendidikan umat 2 bln sekali</t>
  </si>
  <si>
    <t xml:space="preserve"> terlaksananya sarasehan pendidikan kemasyarakatan</t>
  </si>
  <si>
    <t>tersedianya media pendidikan sosial kemasyarakatan</t>
  </si>
  <si>
    <t>Adanya tim</t>
  </si>
  <si>
    <t>Pengumpulan data untuk kepentingan pembuatan jaringan komunikasi antar agama dan kepercayaan</t>
  </si>
  <si>
    <t>Meningkatnya rasa kekeluargaan sesama siswa dan karyawn se Paroki Pugeran dalam perayaan Ekaristi</t>
  </si>
  <si>
    <t>Misa Syukur guru karyawan dn siswa se Paroki Pugeran</t>
  </si>
  <si>
    <t>setiap jumat pertama</t>
  </si>
  <si>
    <t>April - Desember 2017</t>
  </si>
  <si>
    <t>siswa dan karyawan katolik di sekolah negeri dan perwakilan sekolh swasta ( 250 orang)</t>
  </si>
  <si>
    <t>Minggu 1 dan 3</t>
  </si>
  <si>
    <t>Pralenan</t>
  </si>
  <si>
    <t>HAK</t>
  </si>
  <si>
    <t>Promosi Panggilan</t>
  </si>
  <si>
    <t>Kesehatan</t>
  </si>
  <si>
    <t>PSE</t>
  </si>
  <si>
    <t>Pendidikan</t>
  </si>
  <si>
    <t>Keramas</t>
  </si>
  <si>
    <r>
      <t>Bidang/Tim Kerja: Pelayanan Kemasyarakatan/</t>
    </r>
    <r>
      <rPr>
        <sz val="10"/>
        <color rgb="FFFF0000"/>
        <rFont val="Times New Roman"/>
        <family val="1"/>
      </rPr>
      <t>TIMJA PRALENAN</t>
    </r>
  </si>
  <si>
    <r>
      <t>Bidang/Tim Kerja: Pelayanan Kemasyarakatan/</t>
    </r>
    <r>
      <rPr>
        <sz val="10"/>
        <color rgb="FFFF0000"/>
        <rFont val="Times New Roman"/>
        <family val="1"/>
      </rPr>
      <t>Timja: HAK</t>
    </r>
  </si>
  <si>
    <r>
      <t>Bidang/Tim Kerja: Pelayanan Kemasyarakatan/</t>
    </r>
    <r>
      <rPr>
        <sz val="10"/>
        <color rgb="FFFF0000"/>
        <rFont val="Times New Roman"/>
        <family val="1"/>
      </rPr>
      <t>TIMJA PROMOSI PANGGILAN/PAPANCA</t>
    </r>
  </si>
  <si>
    <r>
      <t>Bidang/Tim Kerja: Pelayanan Kemasyarakatan/</t>
    </r>
    <r>
      <rPr>
        <sz val="10"/>
        <color rgb="FFFF0000"/>
        <rFont val="Times New Roman"/>
        <family val="1"/>
      </rPr>
      <t>TIMJA KESEHATAN</t>
    </r>
  </si>
  <si>
    <r>
      <t>Bidang/Tim Kerja: Pelayanan Kemasyarakatan/</t>
    </r>
    <r>
      <rPr>
        <sz val="10"/>
        <color rgb="FFFF0000"/>
        <rFont val="Times New Roman"/>
        <family val="1"/>
      </rPr>
      <t>TIMJA PSE</t>
    </r>
  </si>
  <si>
    <r>
      <t>Bidang/Tim Kerja: Pelayanan Kemasyarakatan/</t>
    </r>
    <r>
      <rPr>
        <sz val="10"/>
        <color rgb="FFFF0000"/>
        <rFont val="Times New Roman"/>
        <family val="1"/>
      </rPr>
      <t>TIMJA PENDIDIKAN</t>
    </r>
  </si>
  <si>
    <r>
      <t>Bidang/Tim Kerja: Pelayanan Kemasyarakatan/</t>
    </r>
    <r>
      <rPr>
        <sz val="10"/>
        <color rgb="FFFF0000"/>
        <rFont val="Times New Roman"/>
        <family val="1"/>
      </rPr>
      <t>TIMJA KERAMAS</t>
    </r>
  </si>
  <si>
    <t>RENCANA ANGGARAN BIDANG PELAYANAN KEMASYARAKATAN
TAHUN 2017</t>
  </si>
  <si>
    <t>komsumsi rapat= 2x 20xRp. 5000= Rp. 200.000</t>
  </si>
  <si>
    <t xml:space="preserve">dlaksanakan setiap jumat pertama pk 12.00 WIB. mulai bulan April 2017
Stiendium Rp.250.000 x 9 bulan= Rp 2.250.000
</t>
  </si>
  <si>
    <t>3 kali pertemuan @ Rp.250.000, setiap pertemuan 50 org @ Rp.5000</t>
  </si>
  <si>
    <t xml:space="preserve">biaya pembuatan media dlm setahun 5 kali terbit tiap 2 bln    @ Rp.200.000 </t>
  </si>
  <si>
    <t>biaya konsumsi 60 org    @ Rp.5000</t>
  </si>
  <si>
    <t>Pebruari s/d
Desember</t>
  </si>
  <si>
    <r>
      <t>Bidang/Tim Kerja: Penelitian dan Pengembangan/</t>
    </r>
    <r>
      <rPr>
        <sz val="10"/>
        <color rgb="FFFF0000"/>
        <rFont val="Times New Roman"/>
        <family val="1"/>
      </rPr>
      <t>Timja Data</t>
    </r>
  </si>
  <si>
    <r>
      <t>Bidang/Tim Kerja: Penelitian dan Pengembangan/</t>
    </r>
    <r>
      <rPr>
        <sz val="10"/>
        <color rgb="FFFF0000"/>
        <rFont val="Times New Roman"/>
        <family val="1"/>
      </rPr>
      <t>Timja: Pengembangan Teritori</t>
    </r>
  </si>
  <si>
    <r>
      <t>Bidang/Tim Kerja: Pelayanan Kemasyarakatan/</t>
    </r>
    <r>
      <rPr>
        <sz val="10"/>
        <color rgb="FFFF0000"/>
        <rFont val="Times New Roman"/>
        <family val="1"/>
      </rPr>
      <t>Timja: Pengembangan Sumber Daya</t>
    </r>
  </si>
  <si>
    <t>Tertatanya pengarsipan data-data pelayanan pastoral, sehingga mudah dilacak dan diakses</t>
  </si>
  <si>
    <t>Pendataan moda transportasi di gereja Paroki</t>
  </si>
  <si>
    <t>Terlaksananya persiapan pemekaran paroki baru</t>
  </si>
  <si>
    <t>Ada pembaruan data umat paroki Pugeran</t>
  </si>
  <si>
    <t>Untuk : 5 kali misa di Pugeran, 1 kali misa di Sempu, 1 kali misa di Padokan, 1 kali misa di GBM, 1 kali misa di Bangunharjo (data hanya 1 kali) dan misa hari raya di semua gereja (induk dan wilayah); entry utk tabulasi data</t>
  </si>
  <si>
    <t>Pembaruan data umat Paroki Pugeran</t>
  </si>
  <si>
    <t xml:space="preserve">Pemetaan geografis batas wilayah paroki Pugeran </t>
  </si>
  <si>
    <t>Membuat peta wilayah digital Paroki Pugeran (batas wilayah terkecil, wilayah)</t>
  </si>
  <si>
    <t>tersedianya peta digital wilayah Pugeran</t>
  </si>
  <si>
    <t>dalam 2 bulan peta digital jadi</t>
  </si>
  <si>
    <t>Mei</t>
  </si>
  <si>
    <t>Pembuatan Buku Profil "Pugeran dalam Angka"</t>
  </si>
  <si>
    <t>Dalam 3 tahun ada buku profil "Pugeran dalam Angka"</t>
  </si>
  <si>
    <t>Tersedianya buku profil "Pugeran dalam Angka"</t>
  </si>
  <si>
    <t>Terdapat data kendaraan yang masuk ke Gereja untuk misa</t>
  </si>
  <si>
    <t>Dalam 1 bulan terdapat data kendaraan yang masuk ke gereja untuk misa.</t>
  </si>
  <si>
    <t>Buku yang mendeskripsikan data tabel ke dalam infografis menarik</t>
  </si>
  <si>
    <t>Data sahih dan update, SDM mumpuni (punya sense of data)</t>
  </si>
  <si>
    <t>Petugas enumerator yang mumpuni, penjelasan input data yang jelas dan benar.</t>
  </si>
  <si>
    <t xml:space="preserve">SDM kolektor data GPS yang mumpuni, kesiapan dan keaktifan umat di calon paroki baru </t>
  </si>
  <si>
    <t xml:space="preserve">Pastor Paroki (sebagai pengambil kebijakan), kesiapan dan keaktifan umat di calon paroki baru </t>
  </si>
  <si>
    <t>Dalam 1 tahun ada data umat yang baru</t>
  </si>
  <si>
    <t>Sensus umat paroki untuk memperbarui data. Hasilnya diserahkan untuk sumber data "Pugeran dalam Angka"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</si>
</sst>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_);_(@_)"/>
    <numFmt numFmtId="165" formatCode="[$-421]dd\ mmmm\ 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/>
    </xf>
    <xf numFmtId="164" fontId="2" fillId="2" borderId="1" xfId="1" applyFont="1" applyFill="1" applyBorder="1" applyAlignment="1">
      <alignment horizontal="center" wrapText="1"/>
    </xf>
    <xf numFmtId="164" fontId="2" fillId="2" borderId="1" xfId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/>
    <xf numFmtId="164" fontId="2" fillId="2" borderId="1" xfId="1" applyFont="1" applyFill="1" applyBorder="1"/>
    <xf numFmtId="0" fontId="2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left" vertical="center" wrapText="1"/>
    </xf>
    <xf numFmtId="164" fontId="3" fillId="2" borderId="1" xfId="1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/>
    </xf>
    <xf numFmtId="9" fontId="2" fillId="2" borderId="5" xfId="0" applyNumberFormat="1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165" fontId="2" fillId="2" borderId="5" xfId="0" applyNumberFormat="1" applyFont="1" applyFill="1" applyBorder="1" applyAlignment="1">
      <alignment horizontal="left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1" applyFont="1" applyFill="1"/>
    <xf numFmtId="164" fontId="2" fillId="2" borderId="0" xfId="1" applyFont="1" applyFill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vertical="center" wrapText="1"/>
    </xf>
    <xf numFmtId="165" fontId="2" fillId="2" borderId="1" xfId="0" quotePrefix="1" applyNumberFormat="1" applyFont="1" applyFill="1" applyBorder="1" applyAlignment="1">
      <alignment vertical="center" wrapText="1"/>
    </xf>
    <xf numFmtId="165" fontId="2" fillId="2" borderId="5" xfId="0" quotePrefix="1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164" fontId="3" fillId="2" borderId="1" xfId="1" applyFont="1" applyFill="1" applyBorder="1"/>
    <xf numFmtId="49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4" fontId="2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165" fontId="2" fillId="2" borderId="6" xfId="0" applyNumberFormat="1" applyFont="1" applyFill="1" applyBorder="1" applyAlignment="1">
      <alignment horizontal="center" vertical="center"/>
    </xf>
    <xf numFmtId="165" fontId="2" fillId="2" borderId="7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164" fontId="2" fillId="2" borderId="1" xfId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tabSelected="1" topLeftCell="D8" workbookViewId="0">
      <selection activeCell="P5" sqref="P5"/>
    </sheetView>
  </sheetViews>
  <sheetFormatPr defaultRowHeight="12.75" x14ac:dyDescent="0.25"/>
  <cols>
    <col min="1" max="1" width="2.42578125" style="30" customWidth="1"/>
    <col min="2" max="2" width="18.140625" style="30" customWidth="1"/>
    <col min="3" max="3" width="16" style="30" customWidth="1"/>
    <col min="4" max="4" width="16.28515625" style="30" customWidth="1"/>
    <col min="5" max="5" width="10.85546875" style="30" customWidth="1"/>
    <col min="6" max="6" width="3.85546875" style="30" customWidth="1"/>
    <col min="7" max="7" width="5" style="30" customWidth="1"/>
    <col min="8" max="8" width="16.28515625" style="30" customWidth="1"/>
    <col min="9" max="9" width="34.140625" style="30" customWidth="1"/>
    <col min="10" max="10" width="12.85546875" style="53" customWidth="1"/>
    <col min="11" max="11" width="11.5703125" style="53" customWidth="1"/>
    <col min="12" max="12" width="13.140625" style="53" customWidth="1"/>
    <col min="13" max="13" width="10.85546875" style="53" customWidth="1"/>
    <col min="14" max="14" width="12" style="53" customWidth="1"/>
    <col min="15" max="15" width="9" style="53" customWidth="1"/>
    <col min="16" max="16" width="8.140625" style="33" customWidth="1"/>
    <col min="17" max="16384" width="9.140625" style="30"/>
  </cols>
  <sheetData>
    <row r="1" spans="2:16" ht="30" customHeight="1" x14ac:dyDescent="0.25">
      <c r="B1" s="55" t="s">
        <v>32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</row>
    <row r="2" spans="2:16" ht="27" customHeight="1" x14ac:dyDescent="0.25">
      <c r="B2" s="60" t="s">
        <v>157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3" spans="2:16" ht="36.75" customHeight="1" x14ac:dyDescent="0.25">
      <c r="B3" s="57" t="s">
        <v>18</v>
      </c>
      <c r="C3" s="57" t="s">
        <v>17</v>
      </c>
      <c r="D3" s="57" t="s">
        <v>19</v>
      </c>
      <c r="E3" s="58"/>
      <c r="F3" s="58" t="s">
        <v>2</v>
      </c>
      <c r="G3" s="58"/>
      <c r="H3" s="58" t="s">
        <v>26</v>
      </c>
      <c r="I3" s="58" t="s">
        <v>3</v>
      </c>
      <c r="J3" s="59" t="s">
        <v>4</v>
      </c>
      <c r="K3" s="59"/>
      <c r="L3" s="59"/>
      <c r="M3" s="59"/>
      <c r="N3" s="59"/>
      <c r="O3" s="62" t="s">
        <v>5</v>
      </c>
      <c r="P3" s="63"/>
    </row>
    <row r="4" spans="2:16" ht="27.75" customHeight="1" x14ac:dyDescent="0.25">
      <c r="B4" s="58"/>
      <c r="C4" s="58"/>
      <c r="D4" s="49" t="s">
        <v>0</v>
      </c>
      <c r="E4" s="49" t="s">
        <v>1</v>
      </c>
      <c r="F4" s="58"/>
      <c r="G4" s="58"/>
      <c r="H4" s="58"/>
      <c r="I4" s="58"/>
      <c r="J4" s="6" t="s">
        <v>6</v>
      </c>
      <c r="K4" s="6" t="s">
        <v>7</v>
      </c>
      <c r="L4" s="6" t="s">
        <v>8</v>
      </c>
      <c r="M4" s="51" t="s">
        <v>27</v>
      </c>
      <c r="N4" s="51" t="s">
        <v>20</v>
      </c>
      <c r="O4" s="6" t="s">
        <v>11</v>
      </c>
      <c r="P4" s="7" t="s">
        <v>12</v>
      </c>
    </row>
    <row r="5" spans="2:16" ht="102" x14ac:dyDescent="0.25">
      <c r="B5" s="13" t="s">
        <v>160</v>
      </c>
      <c r="C5" s="13" t="s">
        <v>178</v>
      </c>
      <c r="D5" s="13" t="s">
        <v>174</v>
      </c>
      <c r="E5" s="34" t="s">
        <v>175</v>
      </c>
      <c r="F5" s="49"/>
      <c r="G5" s="49"/>
      <c r="H5" s="13" t="s">
        <v>161</v>
      </c>
      <c r="I5" s="13" t="s">
        <v>164</v>
      </c>
      <c r="J5" s="6">
        <f t="shared" ref="J5" si="0">K5+L5+M5+N5</f>
        <v>5000000</v>
      </c>
      <c r="K5" s="6">
        <v>0</v>
      </c>
      <c r="L5" s="6">
        <v>5000000</v>
      </c>
      <c r="M5" s="6"/>
      <c r="N5" s="6">
        <v>0</v>
      </c>
      <c r="O5" s="52" t="s">
        <v>77</v>
      </c>
      <c r="P5" s="7"/>
    </row>
    <row r="6" spans="2:16" ht="76.5" x14ac:dyDescent="0.25">
      <c r="B6" s="50" t="s">
        <v>160</v>
      </c>
      <c r="C6" s="13" t="s">
        <v>177</v>
      </c>
      <c r="D6" s="13" t="s">
        <v>173</v>
      </c>
      <c r="E6" s="34" t="s">
        <v>172</v>
      </c>
      <c r="F6" s="49"/>
      <c r="G6" s="49"/>
      <c r="H6" s="13" t="s">
        <v>171</v>
      </c>
      <c r="I6" s="13" t="s">
        <v>176</v>
      </c>
      <c r="J6" s="6"/>
      <c r="K6" s="6"/>
      <c r="L6" s="6">
        <v>2500000</v>
      </c>
      <c r="M6" s="6"/>
      <c r="N6" s="6"/>
      <c r="O6" s="52"/>
      <c r="P6" s="7"/>
    </row>
    <row r="7" spans="2:16" x14ac:dyDescent="0.25">
      <c r="B7" s="13"/>
      <c r="C7" s="13"/>
      <c r="D7" s="13"/>
      <c r="E7" s="7"/>
      <c r="F7" s="49"/>
      <c r="G7" s="49"/>
      <c r="H7" s="13"/>
      <c r="I7" s="13"/>
      <c r="J7" s="6"/>
      <c r="K7" s="6"/>
      <c r="L7" s="6"/>
      <c r="M7" s="6"/>
      <c r="N7" s="6"/>
      <c r="O7" s="52"/>
      <c r="P7" s="7"/>
    </row>
    <row r="8" spans="2:16" ht="22.5" customHeight="1" x14ac:dyDescent="0.25">
      <c r="B8" s="49"/>
      <c r="C8" s="49"/>
      <c r="D8" s="49"/>
      <c r="E8" s="49"/>
      <c r="F8" s="49"/>
      <c r="G8" s="49"/>
      <c r="H8" s="49"/>
      <c r="I8" s="49"/>
      <c r="J8" s="6">
        <f>SUM(J5:J7)</f>
        <v>5000000</v>
      </c>
      <c r="K8" s="6">
        <f>SUM(K5:K7)</f>
        <v>0</v>
      </c>
      <c r="L8" s="6">
        <f>SUM(L5:L7)</f>
        <v>7500000</v>
      </c>
      <c r="M8" s="6">
        <f>SUM(M5:M7)</f>
        <v>0</v>
      </c>
      <c r="N8" s="6">
        <f>SUM(N5:N7)</f>
        <v>0</v>
      </c>
      <c r="O8" s="6"/>
      <c r="P8" s="7"/>
    </row>
    <row r="12" spans="2:16" ht="27" customHeight="1" x14ac:dyDescent="0.25">
      <c r="B12" s="60" t="s">
        <v>158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</row>
    <row r="13" spans="2:16" ht="36.75" customHeight="1" x14ac:dyDescent="0.25">
      <c r="B13" s="57" t="s">
        <v>18</v>
      </c>
      <c r="C13" s="57" t="s">
        <v>17</v>
      </c>
      <c r="D13" s="57" t="s">
        <v>19</v>
      </c>
      <c r="E13" s="58"/>
      <c r="F13" s="58" t="s">
        <v>2</v>
      </c>
      <c r="G13" s="58"/>
      <c r="H13" s="58" t="s">
        <v>26</v>
      </c>
      <c r="I13" s="58" t="s">
        <v>3</v>
      </c>
      <c r="J13" s="59" t="s">
        <v>4</v>
      </c>
      <c r="K13" s="59"/>
      <c r="L13" s="59"/>
      <c r="M13" s="59"/>
      <c r="N13" s="59"/>
      <c r="O13" s="62" t="s">
        <v>5</v>
      </c>
      <c r="P13" s="63"/>
    </row>
    <row r="14" spans="2:16" ht="27.75" customHeight="1" x14ac:dyDescent="0.25">
      <c r="B14" s="58"/>
      <c r="C14" s="58"/>
      <c r="D14" s="49" t="s">
        <v>33</v>
      </c>
      <c r="E14" s="49" t="s">
        <v>1</v>
      </c>
      <c r="F14" s="58"/>
      <c r="G14" s="58"/>
      <c r="H14" s="58"/>
      <c r="I14" s="58"/>
      <c r="J14" s="6" t="s">
        <v>6</v>
      </c>
      <c r="K14" s="6" t="s">
        <v>7</v>
      </c>
      <c r="L14" s="6" t="s">
        <v>8</v>
      </c>
      <c r="M14" s="51" t="s">
        <v>27</v>
      </c>
      <c r="N14" s="51" t="s">
        <v>20</v>
      </c>
      <c r="O14" s="6" t="s">
        <v>11</v>
      </c>
      <c r="P14" s="7" t="s">
        <v>12</v>
      </c>
    </row>
    <row r="15" spans="2:16" ht="98.25" customHeight="1" x14ac:dyDescent="0.25">
      <c r="B15" s="13" t="s">
        <v>162</v>
      </c>
      <c r="C15" s="13" t="s">
        <v>179</v>
      </c>
      <c r="D15" s="13" t="s">
        <v>168</v>
      </c>
      <c r="E15" s="13" t="s">
        <v>169</v>
      </c>
      <c r="F15" s="49"/>
      <c r="G15" s="49"/>
      <c r="H15" s="13" t="s">
        <v>166</v>
      </c>
      <c r="I15" s="13" t="s">
        <v>167</v>
      </c>
      <c r="J15" s="6"/>
      <c r="K15" s="6"/>
      <c r="L15" s="6">
        <v>5000000</v>
      </c>
      <c r="M15" s="6"/>
      <c r="N15" s="6"/>
      <c r="O15" s="52" t="s">
        <v>170</v>
      </c>
      <c r="P15" s="7"/>
    </row>
    <row r="16" spans="2:16" ht="22.5" customHeight="1" x14ac:dyDescent="0.25">
      <c r="B16" s="49"/>
      <c r="C16" s="49"/>
      <c r="D16" s="49"/>
      <c r="E16" s="49"/>
      <c r="F16" s="49"/>
      <c r="G16" s="49"/>
      <c r="H16" s="49" t="s">
        <v>31</v>
      </c>
      <c r="I16" s="49"/>
      <c r="J16" s="6">
        <f>SUM(J15:J15)</f>
        <v>0</v>
      </c>
      <c r="K16" s="6">
        <f>SUM(K15:K15)</f>
        <v>0</v>
      </c>
      <c r="L16" s="6">
        <f>SUM(L15:L15)</f>
        <v>5000000</v>
      </c>
      <c r="M16" s="6">
        <f>SUM(M15:M15)</f>
        <v>0</v>
      </c>
      <c r="N16" s="6">
        <f>SUM(N15:N15)</f>
        <v>0</v>
      </c>
      <c r="O16" s="6"/>
      <c r="P16" s="7"/>
    </row>
    <row r="20" spans="2:16" ht="27" customHeight="1" x14ac:dyDescent="0.25">
      <c r="B20" s="60" t="s">
        <v>159</v>
      </c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</row>
    <row r="21" spans="2:16" ht="36.75" customHeight="1" x14ac:dyDescent="0.25">
      <c r="B21" s="57" t="s">
        <v>18</v>
      </c>
      <c r="C21" s="57" t="s">
        <v>17</v>
      </c>
      <c r="D21" s="57" t="s">
        <v>19</v>
      </c>
      <c r="E21" s="58"/>
      <c r="F21" s="58" t="s">
        <v>2</v>
      </c>
      <c r="G21" s="58"/>
      <c r="H21" s="58" t="s">
        <v>26</v>
      </c>
      <c r="I21" s="58" t="s">
        <v>3</v>
      </c>
      <c r="J21" s="59" t="s">
        <v>4</v>
      </c>
      <c r="K21" s="59"/>
      <c r="L21" s="59"/>
      <c r="M21" s="59"/>
      <c r="N21" s="59"/>
      <c r="O21" s="62" t="s">
        <v>5</v>
      </c>
      <c r="P21" s="63"/>
    </row>
    <row r="22" spans="2:16" ht="27.75" customHeight="1" x14ac:dyDescent="0.25">
      <c r="B22" s="58"/>
      <c r="C22" s="58"/>
      <c r="D22" s="49" t="s">
        <v>0</v>
      </c>
      <c r="E22" s="49" t="s">
        <v>1</v>
      </c>
      <c r="F22" s="58"/>
      <c r="G22" s="58"/>
      <c r="H22" s="58"/>
      <c r="I22" s="58"/>
      <c r="J22" s="6" t="s">
        <v>6</v>
      </c>
      <c r="K22" s="6" t="s">
        <v>7</v>
      </c>
      <c r="L22" s="6" t="s">
        <v>8</v>
      </c>
      <c r="M22" s="51" t="s">
        <v>27</v>
      </c>
      <c r="N22" s="51" t="s">
        <v>20</v>
      </c>
      <c r="O22" s="6" t="s">
        <v>11</v>
      </c>
      <c r="P22" s="7" t="s">
        <v>12</v>
      </c>
    </row>
    <row r="23" spans="2:16" ht="76.5" x14ac:dyDescent="0.25">
      <c r="B23" s="13" t="s">
        <v>160</v>
      </c>
      <c r="C23" s="13" t="s">
        <v>180</v>
      </c>
      <c r="D23" s="34" t="s">
        <v>163</v>
      </c>
      <c r="E23" s="54" t="s">
        <v>181</v>
      </c>
      <c r="F23" s="49"/>
      <c r="G23" s="49"/>
      <c r="H23" s="13" t="s">
        <v>165</v>
      </c>
      <c r="I23" s="13" t="s">
        <v>182</v>
      </c>
      <c r="J23" s="6"/>
      <c r="K23" s="6"/>
      <c r="L23" s="6">
        <v>5000000</v>
      </c>
      <c r="M23" s="6"/>
      <c r="N23" s="6"/>
      <c r="O23" s="52"/>
      <c r="P23" s="7"/>
    </row>
    <row r="24" spans="2:16" x14ac:dyDescent="0.25">
      <c r="B24" s="13"/>
      <c r="C24" s="13"/>
      <c r="D24" s="13"/>
      <c r="E24" s="49"/>
      <c r="F24" s="49"/>
      <c r="G24" s="49"/>
      <c r="H24" s="13"/>
      <c r="I24" s="13"/>
      <c r="J24" s="6"/>
      <c r="K24" s="6"/>
      <c r="L24" s="6"/>
      <c r="M24" s="6"/>
      <c r="N24" s="6"/>
      <c r="O24" s="52"/>
      <c r="P24" s="7"/>
    </row>
    <row r="25" spans="2:16" ht="22.5" customHeight="1" x14ac:dyDescent="0.25">
      <c r="B25" s="49"/>
      <c r="C25" s="49"/>
      <c r="D25" s="49"/>
      <c r="E25" s="49"/>
      <c r="F25" s="49"/>
      <c r="G25" s="49"/>
      <c r="H25" s="49"/>
      <c r="I25" s="49"/>
      <c r="J25" s="6">
        <f>SUM(J23:J24)</f>
        <v>0</v>
      </c>
      <c r="K25" s="6">
        <f>SUM(K23:K24)</f>
        <v>0</v>
      </c>
      <c r="L25" s="6">
        <f>SUM(L23:L24)</f>
        <v>5000000</v>
      </c>
      <c r="M25" s="6">
        <f>SUM(M23:M24)</f>
        <v>0</v>
      </c>
      <c r="N25" s="6">
        <f>SUM(N23:N24)</f>
        <v>0</v>
      </c>
      <c r="O25" s="6"/>
      <c r="P25" s="7"/>
    </row>
  </sheetData>
  <mergeCells count="28">
    <mergeCell ref="I21:I22"/>
    <mergeCell ref="J21:N21"/>
    <mergeCell ref="O21:P21"/>
    <mergeCell ref="B21:B22"/>
    <mergeCell ref="C21:C22"/>
    <mergeCell ref="B12:P12"/>
    <mergeCell ref="B13:B14"/>
    <mergeCell ref="C13:C14"/>
    <mergeCell ref="D13:E13"/>
    <mergeCell ref="F13:G14"/>
    <mergeCell ref="H13:H14"/>
    <mergeCell ref="I13:I14"/>
    <mergeCell ref="J13:N13"/>
    <mergeCell ref="O13:P13"/>
    <mergeCell ref="B20:P20"/>
    <mergeCell ref="D21:E21"/>
    <mergeCell ref="F21:G22"/>
    <mergeCell ref="H21:H22"/>
    <mergeCell ref="B1:P1"/>
    <mergeCell ref="D3:E3"/>
    <mergeCell ref="J3:N3"/>
    <mergeCell ref="C3:C4"/>
    <mergeCell ref="F3:G4"/>
    <mergeCell ref="H3:H4"/>
    <mergeCell ref="I3:I4"/>
    <mergeCell ref="B3:B4"/>
    <mergeCell ref="B2:P2"/>
    <mergeCell ref="O3:P3"/>
  </mergeCells>
  <pageMargins left="0.70866141732283472" right="0.70866141732283472" top="0.94488188976377963" bottom="0.15748031496062992" header="0.31496062992125984" footer="0.31496062992125984"/>
  <pageSetup paperSize="5" orientation="landscape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08"/>
  <sheetViews>
    <sheetView workbookViewId="0">
      <selection activeCell="H15" sqref="H15"/>
    </sheetView>
  </sheetViews>
  <sheetFormatPr defaultRowHeight="12.75" x14ac:dyDescent="0.2"/>
  <cols>
    <col min="1" max="1" width="2.42578125" style="1" customWidth="1"/>
    <col min="2" max="2" width="18.140625" style="1" customWidth="1"/>
    <col min="3" max="3" width="16" style="1" customWidth="1"/>
    <col min="4" max="4" width="16.28515625" style="1" customWidth="1"/>
    <col min="5" max="5" width="10.85546875" style="30" customWidth="1"/>
    <col min="6" max="6" width="3.85546875" style="30" customWidth="1"/>
    <col min="7" max="7" width="5" style="30" customWidth="1"/>
    <col min="8" max="8" width="16.28515625" style="1" customWidth="1"/>
    <col min="9" max="9" width="18.42578125" style="1" customWidth="1"/>
    <col min="10" max="10" width="12.85546875" style="31" customWidth="1"/>
    <col min="11" max="11" width="11.5703125" style="31" customWidth="1"/>
    <col min="12" max="12" width="13.140625" style="31" customWidth="1"/>
    <col min="13" max="13" width="10.85546875" style="31" customWidth="1"/>
    <col min="14" max="14" width="12" style="31" customWidth="1"/>
    <col min="15" max="15" width="9" style="32" customWidth="1"/>
    <col min="16" max="16" width="8.140625" style="33" customWidth="1"/>
    <col min="17" max="16384" width="9.140625" style="1"/>
  </cols>
  <sheetData>
    <row r="1" spans="2:16" ht="30" customHeight="1" x14ac:dyDescent="0.2">
      <c r="B1" s="81" t="s">
        <v>32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2:16" ht="27" customHeight="1" x14ac:dyDescent="0.2">
      <c r="B2" s="71" t="s">
        <v>143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</row>
    <row r="3" spans="2:16" ht="36.75" customHeight="1" x14ac:dyDescent="0.2">
      <c r="B3" s="68" t="s">
        <v>18</v>
      </c>
      <c r="C3" s="68" t="s">
        <v>17</v>
      </c>
      <c r="D3" s="68" t="s">
        <v>19</v>
      </c>
      <c r="E3" s="69"/>
      <c r="F3" s="58" t="s">
        <v>2</v>
      </c>
      <c r="G3" s="58"/>
      <c r="H3" s="69" t="s">
        <v>26</v>
      </c>
      <c r="I3" s="69" t="s">
        <v>3</v>
      </c>
      <c r="J3" s="70" t="s">
        <v>4</v>
      </c>
      <c r="K3" s="70"/>
      <c r="L3" s="70"/>
      <c r="M3" s="70"/>
      <c r="N3" s="70"/>
      <c r="O3" s="62" t="s">
        <v>5</v>
      </c>
      <c r="P3" s="63"/>
    </row>
    <row r="4" spans="2:16" ht="27.75" customHeight="1" x14ac:dyDescent="0.2">
      <c r="B4" s="69"/>
      <c r="C4" s="69"/>
      <c r="D4" s="2" t="s">
        <v>0</v>
      </c>
      <c r="E4" s="3" t="s">
        <v>1</v>
      </c>
      <c r="F4" s="58"/>
      <c r="G4" s="58"/>
      <c r="H4" s="69"/>
      <c r="I4" s="69"/>
      <c r="J4" s="4" t="s">
        <v>6</v>
      </c>
      <c r="K4" s="4" t="s">
        <v>7</v>
      </c>
      <c r="L4" s="4" t="s">
        <v>8</v>
      </c>
      <c r="M4" s="5" t="s">
        <v>27</v>
      </c>
      <c r="N4" s="5" t="s">
        <v>20</v>
      </c>
      <c r="O4" s="6" t="s">
        <v>11</v>
      </c>
      <c r="P4" s="7" t="s">
        <v>12</v>
      </c>
    </row>
    <row r="5" spans="2:16" s="10" customFormat="1" ht="73.5" customHeight="1" x14ac:dyDescent="0.25">
      <c r="B5" s="16" t="s">
        <v>78</v>
      </c>
      <c r="C5" s="16" t="s">
        <v>79</v>
      </c>
      <c r="D5" s="16" t="s">
        <v>80</v>
      </c>
      <c r="E5" s="7"/>
      <c r="F5" s="3"/>
      <c r="G5" s="3"/>
      <c r="H5" s="16" t="s">
        <v>81</v>
      </c>
      <c r="I5" s="16"/>
      <c r="J5" s="8">
        <f t="shared" ref="J5" si="0">K5+L5+M5+N5</f>
        <v>1900000</v>
      </c>
      <c r="K5" s="8">
        <v>0</v>
      </c>
      <c r="L5" s="8">
        <v>1900000</v>
      </c>
      <c r="M5" s="8"/>
      <c r="N5" s="8">
        <v>0</v>
      </c>
      <c r="O5" s="9" t="s">
        <v>82</v>
      </c>
      <c r="P5" s="7"/>
    </row>
    <row r="6" spans="2:16" s="10" customFormat="1" ht="73.5" customHeight="1" x14ac:dyDescent="0.25">
      <c r="B6" s="16" t="s">
        <v>83</v>
      </c>
      <c r="C6" s="16" t="s">
        <v>79</v>
      </c>
      <c r="D6" s="16" t="s">
        <v>80</v>
      </c>
      <c r="E6" s="7"/>
      <c r="F6" s="3"/>
      <c r="G6" s="3"/>
      <c r="H6" s="16" t="s">
        <v>84</v>
      </c>
      <c r="I6" s="16"/>
      <c r="J6" s="8">
        <v>630000</v>
      </c>
      <c r="K6" s="8">
        <v>630000</v>
      </c>
      <c r="L6" s="8"/>
      <c r="M6" s="8"/>
      <c r="N6" s="8"/>
      <c r="O6" s="9" t="s">
        <v>85</v>
      </c>
      <c r="P6" s="7"/>
    </row>
    <row r="7" spans="2:16" s="10" customFormat="1" ht="73.5" customHeight="1" x14ac:dyDescent="0.25">
      <c r="B7" s="16" t="s">
        <v>86</v>
      </c>
      <c r="C7" s="16" t="s">
        <v>87</v>
      </c>
      <c r="D7" s="16"/>
      <c r="E7" s="7" t="s">
        <v>88</v>
      </c>
      <c r="F7" s="3"/>
      <c r="G7" s="3"/>
      <c r="H7" s="16"/>
      <c r="I7" s="16"/>
      <c r="J7" s="8"/>
      <c r="K7" s="8"/>
      <c r="L7" s="8"/>
      <c r="M7" s="8"/>
      <c r="N7" s="8"/>
      <c r="O7" s="9"/>
      <c r="P7" s="7"/>
    </row>
    <row r="8" spans="2:16" ht="22.5" customHeight="1" x14ac:dyDescent="0.2">
      <c r="B8" s="11"/>
      <c r="C8" s="11"/>
      <c r="D8" s="11"/>
      <c r="E8" s="3"/>
      <c r="F8" s="3"/>
      <c r="G8" s="3"/>
      <c r="H8" s="11"/>
      <c r="I8" s="11"/>
      <c r="J8" s="12">
        <f>SUM(J5:J7)</f>
        <v>2530000</v>
      </c>
      <c r="K8" s="12">
        <f>SUM(K5:K7)</f>
        <v>630000</v>
      </c>
      <c r="L8" s="12">
        <f>SUM(L5:L7)</f>
        <v>1900000</v>
      </c>
      <c r="M8" s="12">
        <f>SUM(M5:M7)</f>
        <v>0</v>
      </c>
      <c r="N8" s="12">
        <f>SUM(N5:N7)</f>
        <v>0</v>
      </c>
      <c r="O8" s="8"/>
      <c r="P8" s="7"/>
    </row>
    <row r="12" spans="2:16" ht="27" customHeight="1" x14ac:dyDescent="0.2">
      <c r="B12" s="71" t="s">
        <v>144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</row>
    <row r="13" spans="2:16" ht="36.75" customHeight="1" x14ac:dyDescent="0.2">
      <c r="B13" s="68" t="s">
        <v>18</v>
      </c>
      <c r="C13" s="68" t="s">
        <v>17</v>
      </c>
      <c r="D13" s="68" t="s">
        <v>19</v>
      </c>
      <c r="E13" s="69"/>
      <c r="F13" s="58" t="s">
        <v>2</v>
      </c>
      <c r="G13" s="58"/>
      <c r="H13" s="69" t="s">
        <v>26</v>
      </c>
      <c r="I13" s="69" t="s">
        <v>3</v>
      </c>
      <c r="J13" s="70" t="s">
        <v>4</v>
      </c>
      <c r="K13" s="70"/>
      <c r="L13" s="70"/>
      <c r="M13" s="70"/>
      <c r="N13" s="70"/>
      <c r="O13" s="62" t="s">
        <v>5</v>
      </c>
      <c r="P13" s="63"/>
    </row>
    <row r="14" spans="2:16" ht="27.75" customHeight="1" x14ac:dyDescent="0.2">
      <c r="B14" s="69"/>
      <c r="C14" s="69"/>
      <c r="D14" s="2" t="s">
        <v>33</v>
      </c>
      <c r="E14" s="3" t="s">
        <v>1</v>
      </c>
      <c r="F14" s="58"/>
      <c r="G14" s="58"/>
      <c r="H14" s="69"/>
      <c r="I14" s="69"/>
      <c r="J14" s="4" t="s">
        <v>6</v>
      </c>
      <c r="K14" s="4" t="s">
        <v>7</v>
      </c>
      <c r="L14" s="4" t="s">
        <v>8</v>
      </c>
      <c r="M14" s="5" t="s">
        <v>27</v>
      </c>
      <c r="N14" s="5" t="s">
        <v>20</v>
      </c>
      <c r="O14" s="6" t="s">
        <v>11</v>
      </c>
      <c r="P14" s="7" t="s">
        <v>12</v>
      </c>
    </row>
    <row r="15" spans="2:16" s="10" customFormat="1" ht="98.25" customHeight="1" x14ac:dyDescent="0.25">
      <c r="B15" s="16" t="s">
        <v>28</v>
      </c>
      <c r="C15" s="16" t="s">
        <v>128</v>
      </c>
      <c r="D15" s="16" t="s">
        <v>30</v>
      </c>
      <c r="E15" s="13">
        <v>5</v>
      </c>
      <c r="F15" s="3"/>
      <c r="G15" s="3"/>
      <c r="H15" s="16" t="s">
        <v>29</v>
      </c>
      <c r="I15" s="16" t="s">
        <v>129</v>
      </c>
      <c r="J15" s="8">
        <f>K15+L15+M15+N15</f>
        <v>0</v>
      </c>
      <c r="K15" s="8">
        <v>0</v>
      </c>
      <c r="L15" s="8">
        <v>0</v>
      </c>
      <c r="M15" s="8">
        <v>0</v>
      </c>
      <c r="N15" s="8">
        <v>0</v>
      </c>
      <c r="O15" s="14" t="s">
        <v>156</v>
      </c>
      <c r="P15" s="7"/>
    </row>
    <row r="16" spans="2:16" s="10" customFormat="1" x14ac:dyDescent="0.25">
      <c r="B16" s="80" t="s">
        <v>13</v>
      </c>
      <c r="C16" s="80" t="s">
        <v>14</v>
      </c>
      <c r="D16" s="80" t="s">
        <v>15</v>
      </c>
      <c r="E16" s="77">
        <v>5</v>
      </c>
      <c r="F16" s="77" t="s">
        <v>9</v>
      </c>
      <c r="G16" s="77" t="s">
        <v>9</v>
      </c>
      <c r="H16" s="73" t="s">
        <v>24</v>
      </c>
      <c r="I16" s="17" t="s">
        <v>8</v>
      </c>
      <c r="J16" s="8">
        <f>K16+L16+M16+N16</f>
        <v>150000</v>
      </c>
      <c r="K16" s="8">
        <v>0</v>
      </c>
      <c r="L16" s="8">
        <v>150000</v>
      </c>
      <c r="M16" s="8"/>
      <c r="N16" s="8"/>
      <c r="O16" s="74" t="s">
        <v>10</v>
      </c>
      <c r="P16" s="77" t="s">
        <v>9</v>
      </c>
    </row>
    <row r="17" spans="2:16" s="10" customFormat="1" x14ac:dyDescent="0.25">
      <c r="B17" s="75"/>
      <c r="C17" s="75"/>
      <c r="D17" s="75"/>
      <c r="E17" s="78"/>
      <c r="F17" s="78"/>
      <c r="G17" s="78"/>
      <c r="H17" s="73"/>
      <c r="I17" s="17" t="s">
        <v>21</v>
      </c>
      <c r="J17" s="8">
        <f t="shared" ref="J17:J20" si="1">K17+L17+M17+N17</f>
        <v>150000</v>
      </c>
      <c r="K17" s="8">
        <v>150000</v>
      </c>
      <c r="L17" s="8"/>
      <c r="M17" s="8"/>
      <c r="N17" s="8"/>
      <c r="O17" s="75"/>
      <c r="P17" s="78"/>
    </row>
    <row r="18" spans="2:16" s="10" customFormat="1" x14ac:dyDescent="0.25">
      <c r="B18" s="75"/>
      <c r="C18" s="75"/>
      <c r="D18" s="75"/>
      <c r="E18" s="78"/>
      <c r="F18" s="78"/>
      <c r="G18" s="78"/>
      <c r="H18" s="73"/>
      <c r="I18" s="17" t="s">
        <v>22</v>
      </c>
      <c r="J18" s="8">
        <f t="shared" si="1"/>
        <v>150000</v>
      </c>
      <c r="K18" s="8">
        <v>150000</v>
      </c>
      <c r="L18" s="8"/>
      <c r="M18" s="8"/>
      <c r="N18" s="8"/>
      <c r="O18" s="75"/>
      <c r="P18" s="78"/>
    </row>
    <row r="19" spans="2:16" s="10" customFormat="1" x14ac:dyDescent="0.25">
      <c r="B19" s="75"/>
      <c r="C19" s="75"/>
      <c r="D19" s="75"/>
      <c r="E19" s="78"/>
      <c r="F19" s="78"/>
      <c r="G19" s="78"/>
      <c r="H19" s="73"/>
      <c r="I19" s="17" t="s">
        <v>25</v>
      </c>
      <c r="J19" s="8">
        <f t="shared" si="1"/>
        <v>150000</v>
      </c>
      <c r="K19" s="8">
        <v>150000</v>
      </c>
      <c r="L19" s="8"/>
      <c r="M19" s="8"/>
      <c r="N19" s="8"/>
      <c r="O19" s="75"/>
      <c r="P19" s="78"/>
    </row>
    <row r="20" spans="2:16" s="10" customFormat="1" ht="45.75" customHeight="1" x14ac:dyDescent="0.25">
      <c r="B20" s="76"/>
      <c r="C20" s="76"/>
      <c r="D20" s="76"/>
      <c r="E20" s="79"/>
      <c r="F20" s="79"/>
      <c r="G20" s="79"/>
      <c r="H20" s="73"/>
      <c r="I20" s="17" t="s">
        <v>23</v>
      </c>
      <c r="J20" s="8">
        <f t="shared" si="1"/>
        <v>150000</v>
      </c>
      <c r="K20" s="8">
        <v>150000</v>
      </c>
      <c r="L20" s="8"/>
      <c r="M20" s="8"/>
      <c r="N20" s="8"/>
      <c r="O20" s="76"/>
      <c r="P20" s="79"/>
    </row>
    <row r="21" spans="2:16" ht="22.5" customHeight="1" x14ac:dyDescent="0.2">
      <c r="B21" s="11"/>
      <c r="C21" s="11"/>
      <c r="D21" s="11"/>
      <c r="E21" s="3"/>
      <c r="F21" s="3"/>
      <c r="G21" s="3"/>
      <c r="H21" s="11" t="s">
        <v>31</v>
      </c>
      <c r="I21" s="11"/>
      <c r="J21" s="12">
        <f>SUM(J15:J20)</f>
        <v>750000</v>
      </c>
      <c r="K21" s="12">
        <f>SUM(K15:K20)</f>
        <v>600000</v>
      </c>
      <c r="L21" s="12">
        <f>SUM(L15:L20)</f>
        <v>150000</v>
      </c>
      <c r="M21" s="12">
        <f>SUM(M15:M20)</f>
        <v>0</v>
      </c>
      <c r="N21" s="12">
        <f>SUM(N15:N20)</f>
        <v>0</v>
      </c>
      <c r="O21" s="8"/>
      <c r="P21" s="7"/>
    </row>
    <row r="25" spans="2:16" ht="27" customHeight="1" x14ac:dyDescent="0.2">
      <c r="B25" s="71" t="s">
        <v>145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</row>
    <row r="26" spans="2:16" ht="36.75" customHeight="1" x14ac:dyDescent="0.2">
      <c r="B26" s="68" t="s">
        <v>18</v>
      </c>
      <c r="C26" s="68" t="s">
        <v>17</v>
      </c>
      <c r="D26" s="68" t="s">
        <v>19</v>
      </c>
      <c r="E26" s="69"/>
      <c r="F26" s="58" t="s">
        <v>2</v>
      </c>
      <c r="G26" s="58"/>
      <c r="H26" s="69" t="s">
        <v>26</v>
      </c>
      <c r="I26" s="69" t="s">
        <v>3</v>
      </c>
      <c r="J26" s="70" t="s">
        <v>4</v>
      </c>
      <c r="K26" s="70"/>
      <c r="L26" s="70"/>
      <c r="M26" s="70"/>
      <c r="N26" s="70"/>
      <c r="O26" s="62" t="s">
        <v>5</v>
      </c>
      <c r="P26" s="63"/>
    </row>
    <row r="27" spans="2:16" ht="27.75" customHeight="1" x14ac:dyDescent="0.2">
      <c r="B27" s="69"/>
      <c r="C27" s="69"/>
      <c r="D27" s="2" t="s">
        <v>0</v>
      </c>
      <c r="E27" s="3" t="s">
        <v>1</v>
      </c>
      <c r="F27" s="58"/>
      <c r="G27" s="58"/>
      <c r="H27" s="69"/>
      <c r="I27" s="69"/>
      <c r="J27" s="4" t="s">
        <v>6</v>
      </c>
      <c r="K27" s="4" t="s">
        <v>7</v>
      </c>
      <c r="L27" s="4" t="s">
        <v>8</v>
      </c>
      <c r="M27" s="5" t="s">
        <v>27</v>
      </c>
      <c r="N27" s="5" t="s">
        <v>20</v>
      </c>
      <c r="O27" s="6" t="s">
        <v>11</v>
      </c>
      <c r="P27" s="7" t="s">
        <v>12</v>
      </c>
    </row>
    <row r="28" spans="2:16" s="10" customFormat="1" x14ac:dyDescent="0.25">
      <c r="B28" s="16"/>
      <c r="C28" s="16"/>
      <c r="D28" s="16"/>
      <c r="E28" s="7"/>
      <c r="F28" s="3"/>
      <c r="G28" s="3"/>
      <c r="H28" s="16"/>
      <c r="I28" s="16"/>
      <c r="J28" s="8"/>
      <c r="K28" s="8"/>
      <c r="L28" s="8"/>
      <c r="M28" s="8"/>
      <c r="N28" s="8"/>
      <c r="O28" s="9"/>
      <c r="P28" s="7"/>
    </row>
    <row r="29" spans="2:16" s="10" customFormat="1" ht="38.25" x14ac:dyDescent="0.25">
      <c r="B29" s="18" t="s">
        <v>89</v>
      </c>
      <c r="C29" s="16" t="s">
        <v>79</v>
      </c>
      <c r="D29" s="16"/>
      <c r="E29" s="3" t="s">
        <v>90</v>
      </c>
      <c r="F29" s="3"/>
      <c r="G29" s="3"/>
      <c r="H29" s="16" t="s">
        <v>91</v>
      </c>
      <c r="I29" s="16"/>
      <c r="J29" s="8">
        <v>500000</v>
      </c>
      <c r="K29" s="8">
        <v>300000</v>
      </c>
      <c r="L29" s="8">
        <v>200000</v>
      </c>
      <c r="M29" s="8"/>
      <c r="N29" s="8"/>
      <c r="O29" s="9" t="s">
        <v>92</v>
      </c>
      <c r="P29" s="7"/>
    </row>
    <row r="30" spans="2:16" s="10" customFormat="1" ht="63.75" x14ac:dyDescent="0.25">
      <c r="B30" s="18" t="s">
        <v>93</v>
      </c>
      <c r="C30" s="16" t="s">
        <v>79</v>
      </c>
      <c r="D30" s="16"/>
      <c r="E30" s="3"/>
      <c r="F30" s="3"/>
      <c r="G30" s="3"/>
      <c r="H30" s="16" t="s">
        <v>94</v>
      </c>
      <c r="I30" s="16"/>
      <c r="J30" s="8">
        <v>1500000</v>
      </c>
      <c r="K30" s="8">
        <v>500000</v>
      </c>
      <c r="L30" s="8">
        <v>1000000</v>
      </c>
      <c r="M30" s="8"/>
      <c r="N30" s="8"/>
      <c r="O30" s="9" t="s">
        <v>95</v>
      </c>
      <c r="P30" s="7"/>
    </row>
    <row r="31" spans="2:16" s="10" customFormat="1" ht="51" x14ac:dyDescent="0.25">
      <c r="B31" s="18" t="s">
        <v>97</v>
      </c>
      <c r="C31" s="16" t="s">
        <v>79</v>
      </c>
      <c r="D31" s="16"/>
      <c r="E31" s="3"/>
      <c r="F31" s="3"/>
      <c r="G31" s="3"/>
      <c r="H31" s="16" t="s">
        <v>96</v>
      </c>
      <c r="I31" s="16"/>
      <c r="J31" s="8">
        <v>600000</v>
      </c>
      <c r="K31" s="8"/>
      <c r="L31" s="8">
        <v>600000</v>
      </c>
      <c r="M31" s="8"/>
      <c r="N31" s="8"/>
      <c r="O31" s="9" t="s">
        <v>98</v>
      </c>
      <c r="P31" s="7"/>
    </row>
    <row r="32" spans="2:16" s="10" customFormat="1" ht="76.5" x14ac:dyDescent="0.25">
      <c r="B32" s="18" t="s">
        <v>99</v>
      </c>
      <c r="C32" s="16" t="s">
        <v>79</v>
      </c>
      <c r="D32" s="16"/>
      <c r="E32" s="3"/>
      <c r="F32" s="3"/>
      <c r="G32" s="3"/>
      <c r="H32" s="16" t="s">
        <v>100</v>
      </c>
      <c r="I32" s="16"/>
      <c r="J32" s="8">
        <v>650000</v>
      </c>
      <c r="K32" s="8">
        <v>650000</v>
      </c>
      <c r="L32" s="8"/>
      <c r="M32" s="8"/>
      <c r="N32" s="8"/>
      <c r="O32" s="9" t="s">
        <v>101</v>
      </c>
      <c r="P32" s="7"/>
    </row>
    <row r="33" spans="2:16" s="10" customFormat="1" ht="38.25" x14ac:dyDescent="0.25">
      <c r="B33" s="18" t="s">
        <v>102</v>
      </c>
      <c r="C33" s="16"/>
      <c r="D33" s="16"/>
      <c r="E33" s="3"/>
      <c r="F33" s="3"/>
      <c r="G33" s="3"/>
      <c r="H33" s="16" t="s">
        <v>103</v>
      </c>
      <c r="I33" s="16"/>
      <c r="J33" s="8">
        <v>350000</v>
      </c>
      <c r="K33" s="8">
        <v>350000</v>
      </c>
      <c r="L33" s="8"/>
      <c r="M33" s="8"/>
      <c r="N33" s="8"/>
      <c r="O33" s="9"/>
      <c r="P33" s="7"/>
    </row>
    <row r="34" spans="2:16" s="10" customFormat="1" x14ac:dyDescent="0.25">
      <c r="B34" s="16"/>
      <c r="C34" s="16"/>
      <c r="D34" s="16"/>
      <c r="E34" s="3"/>
      <c r="F34" s="3"/>
      <c r="G34" s="3"/>
      <c r="H34" s="16"/>
      <c r="I34" s="16"/>
      <c r="J34" s="8"/>
      <c r="K34" s="8"/>
      <c r="L34" s="8"/>
      <c r="M34" s="8"/>
      <c r="N34" s="8"/>
      <c r="O34" s="19"/>
      <c r="P34" s="7"/>
    </row>
    <row r="35" spans="2:16" s="10" customFormat="1" x14ac:dyDescent="0.25">
      <c r="B35" s="20"/>
      <c r="C35" s="20"/>
      <c r="D35" s="20"/>
      <c r="E35" s="21"/>
      <c r="F35" s="21"/>
      <c r="G35" s="21"/>
      <c r="H35" s="16"/>
      <c r="I35" s="17"/>
      <c r="J35" s="8"/>
      <c r="K35" s="8"/>
      <c r="L35" s="8"/>
      <c r="M35" s="8"/>
      <c r="N35" s="8"/>
      <c r="O35" s="20"/>
      <c r="P35" s="21"/>
    </row>
    <row r="36" spans="2:16" ht="22.5" customHeight="1" x14ac:dyDescent="0.2">
      <c r="B36" s="11"/>
      <c r="C36" s="11"/>
      <c r="D36" s="11"/>
      <c r="E36" s="3"/>
      <c r="F36" s="3"/>
      <c r="G36" s="3"/>
      <c r="H36" s="11"/>
      <c r="I36" s="11"/>
      <c r="J36" s="12">
        <f>SUM(J28:J35)</f>
        <v>3600000</v>
      </c>
      <c r="K36" s="12">
        <f>SUM(K28:K35)</f>
        <v>1800000</v>
      </c>
      <c r="L36" s="12">
        <f>SUM(L28:L35)</f>
        <v>1800000</v>
      </c>
      <c r="M36" s="12">
        <f>SUM(M28:M35)</f>
        <v>0</v>
      </c>
      <c r="N36" s="12">
        <f>SUM(N28:N35)</f>
        <v>0</v>
      </c>
      <c r="O36" s="8"/>
      <c r="P36" s="7"/>
    </row>
    <row r="43" spans="2:16" ht="27" customHeight="1" x14ac:dyDescent="0.2">
      <c r="B43" s="71" t="s">
        <v>146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</row>
    <row r="44" spans="2:16" ht="36.75" customHeight="1" x14ac:dyDescent="0.2">
      <c r="B44" s="68" t="s">
        <v>18</v>
      </c>
      <c r="C44" s="68" t="s">
        <v>17</v>
      </c>
      <c r="D44" s="68" t="s">
        <v>19</v>
      </c>
      <c r="E44" s="69"/>
      <c r="F44" s="58" t="s">
        <v>2</v>
      </c>
      <c r="G44" s="58"/>
      <c r="H44" s="69" t="s">
        <v>26</v>
      </c>
      <c r="I44" s="69" t="s">
        <v>3</v>
      </c>
      <c r="J44" s="70" t="s">
        <v>4</v>
      </c>
      <c r="K44" s="70"/>
      <c r="L44" s="70"/>
      <c r="M44" s="70"/>
      <c r="N44" s="70"/>
      <c r="O44" s="62" t="s">
        <v>5</v>
      </c>
      <c r="P44" s="63"/>
    </row>
    <row r="45" spans="2:16" ht="27.75" customHeight="1" x14ac:dyDescent="0.2">
      <c r="B45" s="69"/>
      <c r="C45" s="69"/>
      <c r="D45" s="2" t="s">
        <v>0</v>
      </c>
      <c r="E45" s="3" t="s">
        <v>1</v>
      </c>
      <c r="F45" s="58"/>
      <c r="G45" s="58"/>
      <c r="H45" s="69"/>
      <c r="I45" s="69"/>
      <c r="J45" s="4" t="s">
        <v>6</v>
      </c>
      <c r="K45" s="4" t="s">
        <v>7</v>
      </c>
      <c r="L45" s="4" t="s">
        <v>8</v>
      </c>
      <c r="M45" s="5" t="s">
        <v>27</v>
      </c>
      <c r="N45" s="5" t="s">
        <v>20</v>
      </c>
      <c r="O45" s="6" t="s">
        <v>11</v>
      </c>
      <c r="P45" s="7" t="s">
        <v>12</v>
      </c>
    </row>
    <row r="46" spans="2:16" s="10" customFormat="1" ht="78" customHeight="1" x14ac:dyDescent="0.25">
      <c r="B46" s="16" t="s">
        <v>34</v>
      </c>
      <c r="C46" s="16" t="s">
        <v>37</v>
      </c>
      <c r="D46" s="16" t="s">
        <v>35</v>
      </c>
      <c r="E46" s="7" t="s">
        <v>36</v>
      </c>
      <c r="F46" s="3"/>
      <c r="G46" s="3"/>
      <c r="H46" s="16" t="s">
        <v>39</v>
      </c>
      <c r="I46" s="16" t="s">
        <v>38</v>
      </c>
      <c r="J46" s="8">
        <f>K46+L46+M46+N46</f>
        <v>6000000</v>
      </c>
      <c r="K46" s="8">
        <v>2500000</v>
      </c>
      <c r="L46" s="8">
        <v>500000</v>
      </c>
      <c r="M46" s="8"/>
      <c r="N46" s="8">
        <v>3000000</v>
      </c>
      <c r="O46" s="9" t="s">
        <v>40</v>
      </c>
      <c r="P46" s="7"/>
    </row>
    <row r="47" spans="2:16" s="10" customFormat="1" ht="44.25" customHeight="1" x14ac:dyDescent="0.25">
      <c r="B47" s="16" t="s">
        <v>41</v>
      </c>
      <c r="C47" s="16" t="s">
        <v>42</v>
      </c>
      <c r="D47" s="16" t="s">
        <v>43</v>
      </c>
      <c r="E47" s="22">
        <v>0.8</v>
      </c>
      <c r="F47" s="3"/>
      <c r="G47" s="3"/>
      <c r="H47" s="16" t="s">
        <v>44</v>
      </c>
      <c r="I47" s="16" t="s">
        <v>45</v>
      </c>
      <c r="J47" s="8">
        <f>K47+L47+M47+N47</f>
        <v>100000</v>
      </c>
      <c r="K47" s="8"/>
      <c r="L47" s="8">
        <v>100000</v>
      </c>
      <c r="M47" s="8"/>
      <c r="N47" s="8"/>
      <c r="O47" s="9"/>
      <c r="P47" s="7"/>
    </row>
    <row r="48" spans="2:16" s="10" customFormat="1" ht="48.75" customHeight="1" x14ac:dyDescent="0.25">
      <c r="B48" s="16" t="s">
        <v>46</v>
      </c>
      <c r="C48" s="16" t="s">
        <v>47</v>
      </c>
      <c r="D48" s="16" t="s">
        <v>48</v>
      </c>
      <c r="E48" s="3">
        <v>178</v>
      </c>
      <c r="F48" s="3"/>
      <c r="G48" s="3"/>
      <c r="H48" s="16" t="s">
        <v>49</v>
      </c>
      <c r="I48" s="16" t="s">
        <v>50</v>
      </c>
      <c r="J48" s="8">
        <f>K48+L48+M48+N48</f>
        <v>2000000</v>
      </c>
      <c r="K48" s="8">
        <v>2000000</v>
      </c>
      <c r="L48" s="8"/>
      <c r="M48" s="8"/>
      <c r="N48" s="8"/>
      <c r="O48" s="14" t="s">
        <v>51</v>
      </c>
      <c r="P48" s="7"/>
    </row>
    <row r="49" spans="2:16" s="10" customFormat="1" ht="51" x14ac:dyDescent="0.25">
      <c r="B49" s="23" t="s">
        <v>52</v>
      </c>
      <c r="C49" s="20"/>
      <c r="D49" s="23" t="s">
        <v>53</v>
      </c>
      <c r="E49" s="21">
        <v>100</v>
      </c>
      <c r="F49" s="21"/>
      <c r="G49" s="21"/>
      <c r="H49" s="16" t="s">
        <v>54</v>
      </c>
      <c r="I49" s="16" t="s">
        <v>55</v>
      </c>
      <c r="J49" s="8"/>
      <c r="K49" s="8">
        <v>160000</v>
      </c>
      <c r="L49" s="8"/>
      <c r="M49" s="8"/>
      <c r="N49" s="8"/>
      <c r="O49" s="20" t="s">
        <v>56</v>
      </c>
      <c r="P49" s="21"/>
    </row>
    <row r="50" spans="2:16" ht="22.5" customHeight="1" x14ac:dyDescent="0.2">
      <c r="B50" s="11"/>
      <c r="C50" s="11"/>
      <c r="D50" s="11"/>
      <c r="E50" s="3"/>
      <c r="F50" s="3"/>
      <c r="G50" s="3"/>
      <c r="H50" s="11"/>
      <c r="I50" s="24" t="s">
        <v>31</v>
      </c>
      <c r="J50" s="12">
        <f>SUM(J46:J49)</f>
        <v>8100000</v>
      </c>
      <c r="K50" s="12">
        <f>SUM(K46:K49)</f>
        <v>4660000</v>
      </c>
      <c r="L50" s="12">
        <f>SUM(L46:L49)</f>
        <v>600000</v>
      </c>
      <c r="M50" s="12">
        <f>SUM(M46:M49)</f>
        <v>0</v>
      </c>
      <c r="N50" s="12">
        <f>SUM(N46:N49)</f>
        <v>3000000</v>
      </c>
      <c r="O50" s="8"/>
      <c r="P50" s="7"/>
    </row>
    <row r="56" spans="2:16" ht="27" customHeight="1" x14ac:dyDescent="0.2">
      <c r="B56" s="71" t="s">
        <v>147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</row>
    <row r="57" spans="2:16" ht="36.75" customHeight="1" x14ac:dyDescent="0.2">
      <c r="B57" s="68" t="s">
        <v>18</v>
      </c>
      <c r="C57" s="68" t="s">
        <v>17</v>
      </c>
      <c r="D57" s="68" t="s">
        <v>19</v>
      </c>
      <c r="E57" s="69"/>
      <c r="F57" s="58" t="s">
        <v>2</v>
      </c>
      <c r="G57" s="58"/>
      <c r="H57" s="69" t="s">
        <v>26</v>
      </c>
      <c r="I57" s="69" t="s">
        <v>3</v>
      </c>
      <c r="J57" s="70" t="s">
        <v>4</v>
      </c>
      <c r="K57" s="70"/>
      <c r="L57" s="70"/>
      <c r="M57" s="70"/>
      <c r="N57" s="70"/>
      <c r="O57" s="62" t="s">
        <v>5</v>
      </c>
      <c r="P57" s="63"/>
    </row>
    <row r="58" spans="2:16" ht="27.75" customHeight="1" x14ac:dyDescent="0.2">
      <c r="B58" s="69"/>
      <c r="C58" s="69"/>
      <c r="D58" s="2" t="s">
        <v>0</v>
      </c>
      <c r="E58" s="3" t="s">
        <v>1</v>
      </c>
      <c r="F58" s="58"/>
      <c r="G58" s="58"/>
      <c r="H58" s="69"/>
      <c r="I58" s="69"/>
      <c r="J58" s="4" t="s">
        <v>6</v>
      </c>
      <c r="K58" s="4" t="s">
        <v>7</v>
      </c>
      <c r="L58" s="4" t="s">
        <v>8</v>
      </c>
      <c r="M58" s="5" t="s">
        <v>27</v>
      </c>
      <c r="N58" s="5" t="s">
        <v>20</v>
      </c>
      <c r="O58" s="6" t="s">
        <v>11</v>
      </c>
      <c r="P58" s="7" t="s">
        <v>12</v>
      </c>
    </row>
    <row r="59" spans="2:16" s="10" customFormat="1" ht="38.25" customHeight="1" x14ac:dyDescent="0.25">
      <c r="B59" s="16" t="s">
        <v>57</v>
      </c>
      <c r="C59" s="16" t="s">
        <v>58</v>
      </c>
      <c r="D59" s="16" t="s">
        <v>59</v>
      </c>
      <c r="E59" s="7" t="s">
        <v>60</v>
      </c>
      <c r="F59" s="3"/>
      <c r="G59" s="3"/>
      <c r="H59" s="16" t="s">
        <v>62</v>
      </c>
      <c r="I59" s="16" t="s">
        <v>61</v>
      </c>
      <c r="J59" s="8">
        <f>K59+L59+M59+N59</f>
        <v>0</v>
      </c>
      <c r="K59" s="8">
        <v>0</v>
      </c>
      <c r="L59" s="8">
        <v>0</v>
      </c>
      <c r="M59" s="8"/>
      <c r="N59" s="8">
        <v>0</v>
      </c>
      <c r="O59" s="9"/>
      <c r="P59" s="7"/>
    </row>
    <row r="60" spans="2:16" s="10" customFormat="1" ht="25.5" x14ac:dyDescent="0.25">
      <c r="B60" s="16" t="s">
        <v>64</v>
      </c>
      <c r="C60" s="16" t="s">
        <v>63</v>
      </c>
      <c r="D60" s="16" t="s">
        <v>65</v>
      </c>
      <c r="E60" s="3">
        <v>100</v>
      </c>
      <c r="F60" s="3"/>
      <c r="G60" s="3"/>
      <c r="H60" s="16" t="s">
        <v>67</v>
      </c>
      <c r="I60" s="16"/>
      <c r="J60" s="8">
        <f>K60+L60+M60+N60</f>
        <v>3000000</v>
      </c>
      <c r="K60" s="8">
        <v>0</v>
      </c>
      <c r="L60" s="8">
        <v>3000000</v>
      </c>
      <c r="M60" s="8"/>
      <c r="N60" s="8">
        <v>0</v>
      </c>
      <c r="O60" s="9" t="s">
        <v>76</v>
      </c>
      <c r="P60" s="7"/>
    </row>
    <row r="61" spans="2:16" s="10" customFormat="1" ht="38.25" x14ac:dyDescent="0.25">
      <c r="B61" s="16" t="s">
        <v>68</v>
      </c>
      <c r="C61" s="16" t="s">
        <v>69</v>
      </c>
      <c r="D61" s="16"/>
      <c r="E61" s="3">
        <v>110</v>
      </c>
      <c r="F61" s="3"/>
      <c r="G61" s="3"/>
      <c r="H61" s="16" t="s">
        <v>66</v>
      </c>
      <c r="I61" s="16"/>
      <c r="J61" s="8">
        <f>K61+L61+M61+N61</f>
        <v>5500000</v>
      </c>
      <c r="K61" s="8">
        <v>0</v>
      </c>
      <c r="L61" s="8">
        <f>1100*5000</f>
        <v>5500000</v>
      </c>
      <c r="M61" s="8"/>
      <c r="N61" s="8">
        <v>0</v>
      </c>
      <c r="O61" s="19" t="s">
        <v>77</v>
      </c>
      <c r="P61" s="7"/>
    </row>
    <row r="62" spans="2:16" s="10" customFormat="1" ht="38.25" x14ac:dyDescent="0.25">
      <c r="B62" s="23" t="s">
        <v>70</v>
      </c>
      <c r="C62" s="23" t="s">
        <v>71</v>
      </c>
      <c r="D62" s="23" t="s">
        <v>72</v>
      </c>
      <c r="E62" s="25">
        <v>0.8</v>
      </c>
      <c r="F62" s="21"/>
      <c r="G62" s="21"/>
      <c r="H62" s="16" t="s">
        <v>73</v>
      </c>
      <c r="I62" s="16"/>
      <c r="J62" s="8">
        <f>K62+L62+M62+N62</f>
        <v>2880000</v>
      </c>
      <c r="K62" s="8">
        <v>0</v>
      </c>
      <c r="L62" s="8">
        <f>20*6000*24</f>
        <v>2880000</v>
      </c>
      <c r="M62" s="8"/>
      <c r="N62" s="8"/>
      <c r="O62" s="26" t="s">
        <v>74</v>
      </c>
      <c r="P62" s="27" t="s">
        <v>75</v>
      </c>
    </row>
    <row r="63" spans="2:16" s="10" customFormat="1" x14ac:dyDescent="0.25">
      <c r="B63" s="23"/>
      <c r="C63" s="23"/>
      <c r="D63" s="23"/>
      <c r="E63" s="21"/>
      <c r="F63" s="21"/>
      <c r="G63" s="21"/>
      <c r="H63" s="16"/>
      <c r="I63" s="16"/>
      <c r="J63" s="8"/>
      <c r="K63" s="8"/>
      <c r="L63" s="8"/>
      <c r="M63" s="8"/>
      <c r="N63" s="8"/>
      <c r="O63" s="28"/>
      <c r="P63" s="29"/>
    </row>
    <row r="64" spans="2:16" s="10" customFormat="1" x14ac:dyDescent="0.25">
      <c r="B64" s="20"/>
      <c r="C64" s="20"/>
      <c r="D64" s="20"/>
      <c r="E64" s="21" t="s">
        <v>9</v>
      </c>
      <c r="F64" s="21"/>
      <c r="G64" s="21"/>
      <c r="H64" s="16"/>
      <c r="I64" s="17"/>
      <c r="J64" s="8">
        <f>K64+L64+M64+N64</f>
        <v>0</v>
      </c>
      <c r="K64" s="8">
        <v>0</v>
      </c>
      <c r="L64" s="8">
        <v>0</v>
      </c>
      <c r="M64" s="8"/>
      <c r="N64" s="8">
        <v>0</v>
      </c>
      <c r="O64" s="20"/>
      <c r="P64" s="21"/>
    </row>
    <row r="65" spans="2:16" ht="22.5" customHeight="1" x14ac:dyDescent="0.2">
      <c r="B65" s="11"/>
      <c r="C65" s="11"/>
      <c r="D65" s="11"/>
      <c r="E65" s="3"/>
      <c r="F65" s="3"/>
      <c r="G65" s="3"/>
      <c r="H65" s="11"/>
      <c r="I65" s="11"/>
      <c r="J65" s="12">
        <f>SUM(J59:J64)</f>
        <v>11380000</v>
      </c>
      <c r="K65" s="12">
        <f>SUM(K59:K64)</f>
        <v>0</v>
      </c>
      <c r="L65" s="12">
        <f>SUM(L59:L64)</f>
        <v>11380000</v>
      </c>
      <c r="M65" s="12">
        <f>SUM(M59:M64)</f>
        <v>0</v>
      </c>
      <c r="N65" s="12">
        <f>SUM(N59:N64)</f>
        <v>0</v>
      </c>
      <c r="O65" s="8"/>
      <c r="P65" s="7"/>
    </row>
    <row r="67" spans="2:16" x14ac:dyDescent="0.2">
      <c r="M67" s="31" t="s">
        <v>9</v>
      </c>
    </row>
    <row r="71" spans="2:16" x14ac:dyDescent="0.2">
      <c r="B71" s="71" t="s">
        <v>148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</row>
    <row r="72" spans="2:16" x14ac:dyDescent="0.2">
      <c r="B72" s="68" t="s">
        <v>18</v>
      </c>
      <c r="C72" s="68" t="s">
        <v>17</v>
      </c>
      <c r="D72" s="68" t="s">
        <v>19</v>
      </c>
      <c r="E72" s="69"/>
      <c r="F72" s="58" t="s">
        <v>2</v>
      </c>
      <c r="G72" s="58"/>
      <c r="H72" s="69" t="s">
        <v>26</v>
      </c>
      <c r="I72" s="69" t="s">
        <v>3</v>
      </c>
      <c r="J72" s="70" t="s">
        <v>4</v>
      </c>
      <c r="K72" s="70"/>
      <c r="L72" s="70"/>
      <c r="M72" s="70"/>
      <c r="N72" s="70"/>
      <c r="O72" s="62" t="s">
        <v>5</v>
      </c>
      <c r="P72" s="63"/>
    </row>
    <row r="73" spans="2:16" ht="25.5" x14ac:dyDescent="0.2">
      <c r="B73" s="69"/>
      <c r="C73" s="69"/>
      <c r="D73" s="2" t="s">
        <v>0</v>
      </c>
      <c r="E73" s="3" t="s">
        <v>1</v>
      </c>
      <c r="F73" s="58"/>
      <c r="G73" s="58"/>
      <c r="H73" s="69"/>
      <c r="I73" s="69"/>
      <c r="J73" s="4" t="s">
        <v>6</v>
      </c>
      <c r="K73" s="4" t="s">
        <v>7</v>
      </c>
      <c r="L73" s="4" t="s">
        <v>8</v>
      </c>
      <c r="M73" s="5" t="s">
        <v>27</v>
      </c>
      <c r="N73" s="5" t="s">
        <v>20</v>
      </c>
      <c r="O73" s="6" t="s">
        <v>11</v>
      </c>
      <c r="P73" s="7" t="s">
        <v>12</v>
      </c>
    </row>
    <row r="74" spans="2:16" ht="114.75" x14ac:dyDescent="0.2">
      <c r="B74" s="16" t="s">
        <v>130</v>
      </c>
      <c r="C74" s="16" t="s">
        <v>104</v>
      </c>
      <c r="D74" s="16" t="s">
        <v>105</v>
      </c>
      <c r="E74" s="34" t="s">
        <v>134</v>
      </c>
      <c r="F74" s="3"/>
      <c r="G74" s="3"/>
      <c r="H74" s="16" t="s">
        <v>131</v>
      </c>
      <c r="I74" s="16" t="s">
        <v>152</v>
      </c>
      <c r="J74" s="35">
        <f>K74+L74+M74+N74</f>
        <v>2250000</v>
      </c>
      <c r="K74" s="8">
        <v>0</v>
      </c>
      <c r="L74" s="8">
        <v>2250000</v>
      </c>
      <c r="M74" s="8"/>
      <c r="N74" s="8"/>
      <c r="O74" s="9" t="s">
        <v>133</v>
      </c>
      <c r="P74" s="34" t="s">
        <v>132</v>
      </c>
    </row>
    <row r="75" spans="2:16" ht="57" customHeight="1" x14ac:dyDescent="0.2">
      <c r="B75" s="23"/>
      <c r="C75" s="23"/>
      <c r="D75" s="23"/>
      <c r="E75" s="21"/>
      <c r="F75" s="21"/>
      <c r="G75" s="21"/>
      <c r="H75" s="16"/>
      <c r="I75" s="16" t="s">
        <v>151</v>
      </c>
      <c r="J75" s="35">
        <f>K75+L75+M75+N75</f>
        <v>200000</v>
      </c>
      <c r="K75" s="8"/>
      <c r="L75" s="8">
        <v>200000</v>
      </c>
      <c r="M75" s="8"/>
      <c r="N75" s="8"/>
      <c r="O75" s="28" t="s">
        <v>77</v>
      </c>
      <c r="P75" s="27" t="s">
        <v>135</v>
      </c>
    </row>
    <row r="76" spans="2:16" x14ac:dyDescent="0.2">
      <c r="B76" s="20"/>
      <c r="C76" s="20"/>
      <c r="D76" s="20"/>
      <c r="E76" s="21" t="s">
        <v>9</v>
      </c>
      <c r="F76" s="21"/>
      <c r="G76" s="21"/>
      <c r="H76" s="16"/>
      <c r="I76" s="17"/>
      <c r="J76" s="8">
        <f>K76+L76+M76+N76</f>
        <v>0</v>
      </c>
      <c r="K76" s="8">
        <v>0</v>
      </c>
      <c r="L76" s="8">
        <v>0</v>
      </c>
      <c r="M76" s="8"/>
      <c r="N76" s="8">
        <v>0</v>
      </c>
      <c r="O76" s="20"/>
      <c r="P76" s="21"/>
    </row>
    <row r="77" spans="2:16" x14ac:dyDescent="0.2">
      <c r="B77" s="11"/>
      <c r="C77" s="11"/>
      <c r="D77" s="11"/>
      <c r="E77" s="3"/>
      <c r="F77" s="3"/>
      <c r="G77" s="3"/>
      <c r="H77" s="11"/>
      <c r="I77" s="11"/>
      <c r="J77" s="12">
        <f>SUM(J74:J76)</f>
        <v>2450000</v>
      </c>
      <c r="K77" s="12">
        <f>SUM(K74:K76)</f>
        <v>0</v>
      </c>
      <c r="L77" s="12">
        <f>SUM(L74:L76)</f>
        <v>2450000</v>
      </c>
      <c r="M77" s="12">
        <f>SUM(M74:M76)</f>
        <v>0</v>
      </c>
      <c r="N77" s="12">
        <f>SUM(N74:N76)</f>
        <v>0</v>
      </c>
      <c r="O77" s="8"/>
      <c r="P77" s="7"/>
    </row>
    <row r="82" spans="2:16" x14ac:dyDescent="0.2">
      <c r="B82" s="71" t="s">
        <v>149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</row>
    <row r="83" spans="2:16" x14ac:dyDescent="0.2">
      <c r="B83" s="68" t="s">
        <v>18</v>
      </c>
      <c r="C83" s="68" t="s">
        <v>17</v>
      </c>
      <c r="D83" s="68" t="s">
        <v>19</v>
      </c>
      <c r="E83" s="69"/>
      <c r="F83" s="58" t="s">
        <v>2</v>
      </c>
      <c r="G83" s="58"/>
      <c r="H83" s="69" t="s">
        <v>26</v>
      </c>
      <c r="I83" s="69" t="s">
        <v>3</v>
      </c>
      <c r="J83" s="70" t="s">
        <v>4</v>
      </c>
      <c r="K83" s="70"/>
      <c r="L83" s="70"/>
      <c r="M83" s="70"/>
      <c r="N83" s="70"/>
      <c r="O83" s="62" t="s">
        <v>5</v>
      </c>
      <c r="P83" s="63"/>
    </row>
    <row r="84" spans="2:16" ht="25.5" x14ac:dyDescent="0.2">
      <c r="B84" s="69"/>
      <c r="C84" s="69"/>
      <c r="D84" s="2" t="s">
        <v>0</v>
      </c>
      <c r="E84" s="3" t="s">
        <v>1</v>
      </c>
      <c r="F84" s="58"/>
      <c r="G84" s="58"/>
      <c r="H84" s="69"/>
      <c r="I84" s="69"/>
      <c r="J84" s="4" t="s">
        <v>6</v>
      </c>
      <c r="K84" s="4" t="s">
        <v>7</v>
      </c>
      <c r="L84" s="4" t="s">
        <v>8</v>
      </c>
      <c r="M84" s="5" t="s">
        <v>27</v>
      </c>
      <c r="N84" s="5" t="s">
        <v>20</v>
      </c>
      <c r="O84" s="6" t="s">
        <v>11</v>
      </c>
      <c r="P84" s="7" t="s">
        <v>12</v>
      </c>
    </row>
    <row r="85" spans="2:16" x14ac:dyDescent="0.2">
      <c r="B85" s="16"/>
      <c r="C85" s="16"/>
      <c r="D85" s="16"/>
      <c r="E85" s="34"/>
      <c r="F85" s="3"/>
      <c r="G85" s="3"/>
      <c r="H85" s="16"/>
      <c r="I85" s="16"/>
      <c r="J85" s="8"/>
      <c r="K85" s="8"/>
      <c r="L85" s="8"/>
      <c r="M85" s="8"/>
      <c r="N85" s="8"/>
      <c r="O85" s="36"/>
      <c r="P85" s="7"/>
    </row>
    <row r="86" spans="2:16" ht="63.75" x14ac:dyDescent="0.2">
      <c r="B86" s="23" t="s">
        <v>111</v>
      </c>
      <c r="C86" s="23" t="s">
        <v>112</v>
      </c>
      <c r="D86" s="23" t="s">
        <v>113</v>
      </c>
      <c r="E86" s="27" t="s">
        <v>114</v>
      </c>
      <c r="F86" s="21"/>
      <c r="G86" s="21"/>
      <c r="H86" s="16" t="s">
        <v>115</v>
      </c>
      <c r="I86" s="16" t="s">
        <v>153</v>
      </c>
      <c r="J86" s="8">
        <v>750000</v>
      </c>
      <c r="K86" s="8"/>
      <c r="L86" s="8">
        <v>750000</v>
      </c>
      <c r="M86" s="8"/>
      <c r="N86" s="8"/>
      <c r="O86" s="37" t="s">
        <v>120</v>
      </c>
      <c r="P86" s="29"/>
    </row>
    <row r="87" spans="2:16" ht="89.25" x14ac:dyDescent="0.2">
      <c r="B87" s="64" t="s">
        <v>116</v>
      </c>
      <c r="C87" s="64" t="s">
        <v>117</v>
      </c>
      <c r="D87" s="23" t="s">
        <v>127</v>
      </c>
      <c r="E87" s="27" t="s">
        <v>125</v>
      </c>
      <c r="F87" s="21"/>
      <c r="G87" s="21"/>
      <c r="H87" s="16" t="s">
        <v>118</v>
      </c>
      <c r="I87" s="16" t="s">
        <v>154</v>
      </c>
      <c r="J87" s="8">
        <v>1000000</v>
      </c>
      <c r="K87" s="8">
        <v>500000</v>
      </c>
      <c r="L87" s="8">
        <v>500000</v>
      </c>
      <c r="M87" s="8"/>
      <c r="N87" s="8"/>
      <c r="O87" s="37" t="s">
        <v>121</v>
      </c>
      <c r="P87" s="29"/>
    </row>
    <row r="88" spans="2:16" ht="51" x14ac:dyDescent="0.2">
      <c r="B88" s="65"/>
      <c r="C88" s="65"/>
      <c r="D88" s="23" t="s">
        <v>126</v>
      </c>
      <c r="E88" s="27" t="s">
        <v>124</v>
      </c>
      <c r="F88" s="21"/>
      <c r="G88" s="21"/>
      <c r="H88" s="16" t="s">
        <v>123</v>
      </c>
      <c r="I88" s="16" t="s">
        <v>155</v>
      </c>
      <c r="J88" s="8">
        <v>320000</v>
      </c>
      <c r="K88" s="8"/>
      <c r="L88" s="8">
        <v>320000</v>
      </c>
      <c r="M88" s="8"/>
      <c r="N88" s="8"/>
      <c r="O88" s="37" t="s">
        <v>122</v>
      </c>
      <c r="P88" s="29"/>
    </row>
    <row r="89" spans="2:16" x14ac:dyDescent="0.2">
      <c r="B89" s="23"/>
      <c r="C89" s="23"/>
      <c r="D89" s="23"/>
      <c r="E89" s="27"/>
      <c r="F89" s="21"/>
      <c r="G89" s="21"/>
      <c r="H89" s="16"/>
      <c r="I89" s="16"/>
      <c r="J89" s="8"/>
      <c r="K89" s="8"/>
      <c r="L89" s="8"/>
      <c r="M89" s="8"/>
      <c r="N89" s="8"/>
      <c r="O89" s="37"/>
      <c r="P89" s="29"/>
    </row>
    <row r="90" spans="2:16" x14ac:dyDescent="0.2">
      <c r="B90" s="23"/>
      <c r="C90" s="23"/>
      <c r="D90" s="23"/>
      <c r="E90" s="27"/>
      <c r="F90" s="21"/>
      <c r="G90" s="21"/>
      <c r="H90" s="16"/>
      <c r="I90" s="16"/>
      <c r="J90" s="8"/>
      <c r="K90" s="8"/>
      <c r="L90" s="8"/>
      <c r="M90" s="8"/>
      <c r="N90" s="8"/>
      <c r="O90" s="37"/>
      <c r="P90" s="29"/>
    </row>
    <row r="91" spans="2:16" x14ac:dyDescent="0.2">
      <c r="B91" s="23"/>
      <c r="C91" s="23"/>
      <c r="D91" s="23"/>
      <c r="E91" s="27"/>
      <c r="F91" s="21"/>
      <c r="G91" s="21"/>
      <c r="H91" s="16"/>
      <c r="I91" s="16"/>
      <c r="J91" s="8"/>
      <c r="K91" s="8"/>
      <c r="L91" s="8"/>
      <c r="M91" s="8"/>
      <c r="N91" s="8"/>
      <c r="O91" s="37"/>
      <c r="P91" s="29"/>
    </row>
    <row r="92" spans="2:16" x14ac:dyDescent="0.2">
      <c r="B92" s="23"/>
      <c r="C92" s="23"/>
      <c r="D92" s="23"/>
      <c r="E92" s="21"/>
      <c r="F92" s="21"/>
      <c r="G92" s="21"/>
      <c r="H92" s="16"/>
      <c r="I92" s="16"/>
      <c r="J92" s="8"/>
      <c r="K92" s="8"/>
      <c r="L92" s="8"/>
      <c r="M92" s="8"/>
      <c r="N92" s="8"/>
      <c r="O92" s="28"/>
      <c r="P92" s="29"/>
    </row>
    <row r="93" spans="2:16" x14ac:dyDescent="0.2">
      <c r="B93" s="20"/>
      <c r="C93" s="20"/>
      <c r="D93" s="20"/>
      <c r="E93" s="21" t="s">
        <v>9</v>
      </c>
      <c r="F93" s="21"/>
      <c r="G93" s="21"/>
      <c r="H93" s="16"/>
      <c r="I93" s="17"/>
      <c r="J93" s="8">
        <f>K93+L93+M93+N93</f>
        <v>0</v>
      </c>
      <c r="K93" s="8">
        <v>0</v>
      </c>
      <c r="L93" s="8">
        <v>0</v>
      </c>
      <c r="M93" s="8"/>
      <c r="N93" s="8">
        <v>0</v>
      </c>
      <c r="O93" s="20"/>
      <c r="P93" s="21"/>
    </row>
    <row r="94" spans="2:16" x14ac:dyDescent="0.2">
      <c r="B94" s="11"/>
      <c r="C94" s="11"/>
      <c r="D94" s="11"/>
      <c r="E94" s="3"/>
      <c r="F94" s="3"/>
      <c r="G94" s="3"/>
      <c r="H94" s="11"/>
      <c r="I94" s="11"/>
      <c r="J94" s="12">
        <f>SUM(J85:J93)</f>
        <v>2070000</v>
      </c>
      <c r="K94" s="12">
        <f>SUM(K85:K93)</f>
        <v>500000</v>
      </c>
      <c r="L94" s="12">
        <f>SUM(L85:L93)</f>
        <v>1570000</v>
      </c>
      <c r="M94" s="12">
        <f>SUM(M85:M93)</f>
        <v>0</v>
      </c>
      <c r="N94" s="12">
        <f>SUM(N85:N93)</f>
        <v>0</v>
      </c>
      <c r="O94" s="8"/>
      <c r="P94" s="7"/>
    </row>
    <row r="97" spans="2:16" ht="36" customHeight="1" x14ac:dyDescent="0.2">
      <c r="B97" s="66" t="s">
        <v>150</v>
      </c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</row>
    <row r="98" spans="2:16" ht="29.25" customHeight="1" x14ac:dyDescent="0.2">
      <c r="B98" s="68" t="s">
        <v>18</v>
      </c>
      <c r="C98" s="68" t="s">
        <v>17</v>
      </c>
      <c r="D98" s="68" t="s">
        <v>19</v>
      </c>
      <c r="E98" s="69"/>
      <c r="F98" s="58" t="s">
        <v>2</v>
      </c>
      <c r="G98" s="58"/>
      <c r="H98" s="69" t="s">
        <v>26</v>
      </c>
      <c r="I98" s="69" t="s">
        <v>3</v>
      </c>
      <c r="J98" s="70" t="s">
        <v>4</v>
      </c>
      <c r="K98" s="70"/>
      <c r="L98" s="70"/>
      <c r="M98" s="70"/>
      <c r="N98" s="70"/>
      <c r="O98" s="62" t="s">
        <v>5</v>
      </c>
      <c r="P98" s="63"/>
    </row>
    <row r="99" spans="2:16" ht="40.5" customHeight="1" x14ac:dyDescent="0.2">
      <c r="B99" s="69"/>
      <c r="C99" s="69"/>
      <c r="D99" s="2" t="s">
        <v>0</v>
      </c>
      <c r="E99" s="3" t="s">
        <v>1</v>
      </c>
      <c r="F99" s="58"/>
      <c r="G99" s="58"/>
      <c r="H99" s="69"/>
      <c r="I99" s="69"/>
      <c r="J99" s="4" t="s">
        <v>6</v>
      </c>
      <c r="K99" s="4" t="s">
        <v>7</v>
      </c>
      <c r="L99" s="4" t="s">
        <v>8</v>
      </c>
      <c r="M99" s="5" t="s">
        <v>27</v>
      </c>
      <c r="N99" s="5" t="s">
        <v>20</v>
      </c>
      <c r="O99" s="6" t="s">
        <v>11</v>
      </c>
      <c r="P99" s="7" t="s">
        <v>12</v>
      </c>
    </row>
    <row r="100" spans="2:16" ht="26.25" customHeight="1" x14ac:dyDescent="0.2">
      <c r="B100" s="17" t="s">
        <v>136</v>
      </c>
      <c r="C100" s="17"/>
      <c r="D100" s="17"/>
      <c r="E100" s="3" t="s">
        <v>9</v>
      </c>
      <c r="F100" s="3"/>
      <c r="G100" s="3"/>
      <c r="H100" s="16"/>
      <c r="I100" s="17"/>
      <c r="J100" s="8">
        <f>J8</f>
        <v>2530000</v>
      </c>
      <c r="K100" s="8">
        <f>K8</f>
        <v>630000</v>
      </c>
      <c r="L100" s="8">
        <f>L8</f>
        <v>1900000</v>
      </c>
      <c r="M100" s="8"/>
      <c r="N100" s="8">
        <v>0</v>
      </c>
      <c r="O100" s="17"/>
      <c r="P100" s="3"/>
    </row>
    <row r="101" spans="2:16" x14ac:dyDescent="0.2">
      <c r="B101" s="11" t="s">
        <v>137</v>
      </c>
      <c r="C101" s="11"/>
      <c r="D101" s="11"/>
      <c r="E101" s="3"/>
      <c r="F101" s="3"/>
      <c r="G101" s="3"/>
      <c r="H101" s="11"/>
      <c r="I101" s="11"/>
      <c r="J101" s="12">
        <f>J21</f>
        <v>750000</v>
      </c>
      <c r="K101" s="12">
        <f>K21</f>
        <v>600000</v>
      </c>
      <c r="L101" s="12">
        <f>L21</f>
        <v>150000</v>
      </c>
      <c r="M101" s="12"/>
      <c r="N101" s="12"/>
      <c r="O101" s="8"/>
      <c r="P101" s="7"/>
    </row>
    <row r="102" spans="2:16" x14ac:dyDescent="0.2">
      <c r="B102" s="11" t="s">
        <v>138</v>
      </c>
      <c r="C102" s="11"/>
      <c r="D102" s="11"/>
      <c r="E102" s="3"/>
      <c r="F102" s="3"/>
      <c r="G102" s="3"/>
      <c r="H102" s="11"/>
      <c r="I102" s="11"/>
      <c r="J102" s="12">
        <f>J36</f>
        <v>3600000</v>
      </c>
      <c r="K102" s="12">
        <f>K36</f>
        <v>1800000</v>
      </c>
      <c r="L102" s="12">
        <f>L36</f>
        <v>1800000</v>
      </c>
      <c r="M102" s="12"/>
      <c r="N102" s="12"/>
      <c r="O102" s="8"/>
      <c r="P102" s="7"/>
    </row>
    <row r="103" spans="2:16" x14ac:dyDescent="0.2">
      <c r="B103" s="11" t="s">
        <v>139</v>
      </c>
      <c r="C103" s="11"/>
      <c r="D103" s="11"/>
      <c r="E103" s="3"/>
      <c r="F103" s="3"/>
      <c r="G103" s="3"/>
      <c r="H103" s="11"/>
      <c r="I103" s="11"/>
      <c r="J103" s="12">
        <f>J50</f>
        <v>8100000</v>
      </c>
      <c r="K103" s="12">
        <f>K50</f>
        <v>4660000</v>
      </c>
      <c r="L103" s="12">
        <f>L50</f>
        <v>600000</v>
      </c>
      <c r="M103" s="12">
        <f>M50</f>
        <v>0</v>
      </c>
      <c r="N103" s="12">
        <f>N50</f>
        <v>3000000</v>
      </c>
      <c r="O103" s="8"/>
      <c r="P103" s="7"/>
    </row>
    <row r="104" spans="2:16" ht="18" customHeight="1" x14ac:dyDescent="0.2">
      <c r="B104" s="11" t="s">
        <v>140</v>
      </c>
      <c r="C104" s="11"/>
      <c r="D104" s="11"/>
      <c r="E104" s="3"/>
      <c r="F104" s="3"/>
      <c r="G104" s="3"/>
      <c r="H104" s="11"/>
      <c r="I104" s="11"/>
      <c r="J104" s="12">
        <f>J65</f>
        <v>11380000</v>
      </c>
      <c r="K104" s="12">
        <f>K65</f>
        <v>0</v>
      </c>
      <c r="L104" s="12">
        <f>L65</f>
        <v>11380000</v>
      </c>
      <c r="M104" s="12">
        <f>M65</f>
        <v>0</v>
      </c>
      <c r="N104" s="12">
        <f>N65</f>
        <v>0</v>
      </c>
      <c r="O104" s="8"/>
      <c r="P104" s="7"/>
    </row>
    <row r="105" spans="2:16" x14ac:dyDescent="0.2">
      <c r="B105" s="11" t="s">
        <v>141</v>
      </c>
      <c r="C105" s="11"/>
      <c r="D105" s="11"/>
      <c r="E105" s="3"/>
      <c r="F105" s="3"/>
      <c r="G105" s="3"/>
      <c r="H105" s="11"/>
      <c r="I105" s="11"/>
      <c r="J105" s="12">
        <f>J77</f>
        <v>2450000</v>
      </c>
      <c r="K105" s="12">
        <f>K77</f>
        <v>0</v>
      </c>
      <c r="L105" s="12">
        <f>L77</f>
        <v>2450000</v>
      </c>
      <c r="M105" s="12">
        <f>M77</f>
        <v>0</v>
      </c>
      <c r="N105" s="12">
        <f>N77</f>
        <v>0</v>
      </c>
      <c r="O105" s="8"/>
      <c r="P105" s="7"/>
    </row>
    <row r="106" spans="2:16" x14ac:dyDescent="0.2">
      <c r="B106" s="11" t="s">
        <v>142</v>
      </c>
      <c r="C106" s="11"/>
      <c r="D106" s="11"/>
      <c r="E106" s="3"/>
      <c r="F106" s="3"/>
      <c r="G106" s="3"/>
      <c r="H106" s="11"/>
      <c r="I106" s="11"/>
      <c r="J106" s="12">
        <f>J94</f>
        <v>2070000</v>
      </c>
      <c r="K106" s="12">
        <f>K94</f>
        <v>500000</v>
      </c>
      <c r="L106" s="12">
        <f>L94</f>
        <v>1570000</v>
      </c>
      <c r="M106" s="12">
        <f>M94</f>
        <v>0</v>
      </c>
      <c r="N106" s="12">
        <f>N94</f>
        <v>0</v>
      </c>
      <c r="O106" s="8"/>
      <c r="P106" s="7"/>
    </row>
    <row r="107" spans="2:16" ht="25.5" customHeight="1" x14ac:dyDescent="0.2">
      <c r="B107" s="38" t="s">
        <v>16</v>
      </c>
      <c r="C107" s="39"/>
      <c r="D107" s="39"/>
      <c r="E107" s="40"/>
      <c r="F107" s="40"/>
      <c r="G107" s="40"/>
      <c r="H107" s="39"/>
      <c r="I107" s="39"/>
      <c r="J107" s="41">
        <f>SUM(J100:J106)</f>
        <v>30880000</v>
      </c>
      <c r="K107" s="41">
        <f t="shared" ref="K107:N107" si="2">SUM(K100:K106)</f>
        <v>8190000</v>
      </c>
      <c r="L107" s="41">
        <f t="shared" si="2"/>
        <v>19850000</v>
      </c>
      <c r="M107" s="41">
        <f t="shared" si="2"/>
        <v>0</v>
      </c>
      <c r="N107" s="41">
        <f t="shared" si="2"/>
        <v>3000000</v>
      </c>
      <c r="O107" s="15"/>
      <c r="P107" s="42"/>
    </row>
    <row r="108" spans="2:16" ht="21.75" customHeight="1" x14ac:dyDescent="0.2">
      <c r="B108" s="11"/>
      <c r="C108" s="11"/>
      <c r="D108" s="11"/>
      <c r="E108" s="3"/>
      <c r="F108" s="3"/>
      <c r="G108" s="3"/>
      <c r="H108" s="11"/>
      <c r="I108" s="11"/>
      <c r="J108" s="12"/>
      <c r="K108" s="12"/>
      <c r="L108" s="12"/>
      <c r="M108" s="12"/>
      <c r="N108" s="12"/>
      <c r="O108" s="8"/>
      <c r="P108" s="7"/>
    </row>
  </sheetData>
  <mergeCells count="84">
    <mergeCell ref="B1:P1"/>
    <mergeCell ref="B2:P2"/>
    <mergeCell ref="B3:B4"/>
    <mergeCell ref="C3:C4"/>
    <mergeCell ref="D3:E3"/>
    <mergeCell ref="F3:G4"/>
    <mergeCell ref="H3:H4"/>
    <mergeCell ref="I3:I4"/>
    <mergeCell ref="J3:N3"/>
    <mergeCell ref="O3:P3"/>
    <mergeCell ref="B12:P12"/>
    <mergeCell ref="B13:B14"/>
    <mergeCell ref="C13:C14"/>
    <mergeCell ref="D13:E13"/>
    <mergeCell ref="F13:G14"/>
    <mergeCell ref="H13:H14"/>
    <mergeCell ref="I13:I14"/>
    <mergeCell ref="J13:N13"/>
    <mergeCell ref="O13:P13"/>
    <mergeCell ref="H16:H20"/>
    <mergeCell ref="O16:O20"/>
    <mergeCell ref="P16:P20"/>
    <mergeCell ref="B25:P25"/>
    <mergeCell ref="B26:B27"/>
    <mergeCell ref="C26:C27"/>
    <mergeCell ref="D26:E26"/>
    <mergeCell ref="F26:G27"/>
    <mergeCell ref="H26:H27"/>
    <mergeCell ref="I26:I27"/>
    <mergeCell ref="B16:B20"/>
    <mergeCell ref="C16:C20"/>
    <mergeCell ref="D16:D20"/>
    <mergeCell ref="E16:E20"/>
    <mergeCell ref="F16:F20"/>
    <mergeCell ref="G16:G20"/>
    <mergeCell ref="J26:N26"/>
    <mergeCell ref="O26:P26"/>
    <mergeCell ref="B43:P43"/>
    <mergeCell ref="B44:B45"/>
    <mergeCell ref="C44:C45"/>
    <mergeCell ref="D44:E44"/>
    <mergeCell ref="F44:G45"/>
    <mergeCell ref="H44:H45"/>
    <mergeCell ref="I44:I45"/>
    <mergeCell ref="J44:N44"/>
    <mergeCell ref="O44:P44"/>
    <mergeCell ref="B56:P56"/>
    <mergeCell ref="B57:B58"/>
    <mergeCell ref="C57:C58"/>
    <mergeCell ref="D57:E57"/>
    <mergeCell ref="F57:G58"/>
    <mergeCell ref="H57:H58"/>
    <mergeCell ref="I57:I58"/>
    <mergeCell ref="J57:N57"/>
    <mergeCell ref="O57:P57"/>
    <mergeCell ref="B71:P71"/>
    <mergeCell ref="B72:B73"/>
    <mergeCell ref="C72:C73"/>
    <mergeCell ref="D72:E72"/>
    <mergeCell ref="F72:G73"/>
    <mergeCell ref="H72:H73"/>
    <mergeCell ref="I72:I73"/>
    <mergeCell ref="J72:N72"/>
    <mergeCell ref="O72:P72"/>
    <mergeCell ref="B82:P82"/>
    <mergeCell ref="B83:B84"/>
    <mergeCell ref="C83:C84"/>
    <mergeCell ref="D83:E83"/>
    <mergeCell ref="F83:G84"/>
    <mergeCell ref="H83:H84"/>
    <mergeCell ref="I83:I84"/>
    <mergeCell ref="J83:N83"/>
    <mergeCell ref="O83:P83"/>
    <mergeCell ref="O98:P98"/>
    <mergeCell ref="B87:B88"/>
    <mergeCell ref="C87:C88"/>
    <mergeCell ref="B97:P97"/>
    <mergeCell ref="B98:B99"/>
    <mergeCell ref="C98:C99"/>
    <mergeCell ref="D98:E98"/>
    <mergeCell ref="F98:G99"/>
    <mergeCell ref="H98:H99"/>
    <mergeCell ref="I98:I99"/>
    <mergeCell ref="J98:N9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4"/>
  <sheetViews>
    <sheetView workbookViewId="0">
      <selection activeCell="D5" sqref="D5"/>
    </sheetView>
  </sheetViews>
  <sheetFormatPr defaultRowHeight="12.75" x14ac:dyDescent="0.2"/>
  <cols>
    <col min="1" max="1" width="2.42578125" style="1" customWidth="1"/>
    <col min="2" max="2" width="18.140625" style="1" customWidth="1"/>
    <col min="3" max="3" width="16" style="1" customWidth="1"/>
    <col min="4" max="4" width="16.28515625" style="1" customWidth="1"/>
    <col min="5" max="5" width="10.85546875" style="30" customWidth="1"/>
    <col min="6" max="6" width="3.85546875" style="30" customWidth="1"/>
    <col min="7" max="7" width="5" style="30" customWidth="1"/>
    <col min="8" max="8" width="16.28515625" style="1" customWidth="1"/>
    <col min="9" max="9" width="18.42578125" style="1" customWidth="1"/>
    <col min="10" max="10" width="12.85546875" style="31" customWidth="1"/>
    <col min="11" max="11" width="11.5703125" style="31" customWidth="1"/>
    <col min="12" max="12" width="13.140625" style="31" customWidth="1"/>
    <col min="13" max="13" width="10.85546875" style="31" customWidth="1"/>
    <col min="14" max="14" width="12" style="31" customWidth="1"/>
    <col min="15" max="15" width="9" style="32" customWidth="1"/>
    <col min="16" max="16" width="8.140625" style="33" customWidth="1"/>
    <col min="17" max="16384" width="9.140625" style="1"/>
  </cols>
  <sheetData>
    <row r="1" spans="2:16" ht="30" customHeight="1" x14ac:dyDescent="0.2">
      <c r="B1" s="81" t="s">
        <v>32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2:16" x14ac:dyDescent="0.2">
      <c r="B2" s="71" t="s">
        <v>149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</row>
    <row r="3" spans="2:16" x14ac:dyDescent="0.2">
      <c r="B3" s="68" t="s">
        <v>18</v>
      </c>
      <c r="C3" s="68" t="s">
        <v>17</v>
      </c>
      <c r="D3" s="68" t="s">
        <v>19</v>
      </c>
      <c r="E3" s="69"/>
      <c r="F3" s="58" t="s">
        <v>2</v>
      </c>
      <c r="G3" s="58"/>
      <c r="H3" s="69" t="s">
        <v>26</v>
      </c>
      <c r="I3" s="69" t="s">
        <v>3</v>
      </c>
      <c r="J3" s="70" t="s">
        <v>4</v>
      </c>
      <c r="K3" s="70"/>
      <c r="L3" s="70"/>
      <c r="M3" s="70"/>
      <c r="N3" s="70"/>
      <c r="O3" s="62" t="s">
        <v>5</v>
      </c>
      <c r="P3" s="63"/>
    </row>
    <row r="4" spans="2:16" ht="25.5" x14ac:dyDescent="0.2">
      <c r="B4" s="69"/>
      <c r="C4" s="69"/>
      <c r="D4" s="43" t="s">
        <v>0</v>
      </c>
      <c r="E4" s="44" t="s">
        <v>1</v>
      </c>
      <c r="F4" s="58"/>
      <c r="G4" s="58"/>
      <c r="H4" s="69"/>
      <c r="I4" s="69"/>
      <c r="J4" s="45" t="s">
        <v>6</v>
      </c>
      <c r="K4" s="45" t="s">
        <v>7</v>
      </c>
      <c r="L4" s="45" t="s">
        <v>8</v>
      </c>
      <c r="M4" s="5" t="s">
        <v>27</v>
      </c>
      <c r="N4" s="5" t="s">
        <v>20</v>
      </c>
      <c r="O4" s="6" t="s">
        <v>11</v>
      </c>
      <c r="P4" s="7" t="s">
        <v>12</v>
      </c>
    </row>
    <row r="5" spans="2:16" ht="76.5" x14ac:dyDescent="0.2">
      <c r="B5" s="48" t="s">
        <v>106</v>
      </c>
      <c r="C5" s="48" t="s">
        <v>107</v>
      </c>
      <c r="D5" s="48" t="s">
        <v>108</v>
      </c>
      <c r="E5" s="34" t="s">
        <v>109</v>
      </c>
      <c r="F5" s="44"/>
      <c r="G5" s="44"/>
      <c r="H5" s="48" t="s">
        <v>110</v>
      </c>
      <c r="I5" s="48"/>
      <c r="J5" s="8">
        <v>10000000</v>
      </c>
      <c r="K5" s="8"/>
      <c r="L5" s="8">
        <v>5000000</v>
      </c>
      <c r="M5" s="8">
        <v>2500000</v>
      </c>
      <c r="N5" s="8">
        <v>2500000</v>
      </c>
      <c r="O5" s="36" t="s">
        <v>119</v>
      </c>
      <c r="P5" s="7"/>
    </row>
    <row r="6" spans="2:16" ht="63.75" x14ac:dyDescent="0.2">
      <c r="B6" s="23"/>
      <c r="C6" s="23" t="s">
        <v>112</v>
      </c>
      <c r="D6" s="23" t="s">
        <v>113</v>
      </c>
      <c r="E6" s="27" t="s">
        <v>114</v>
      </c>
      <c r="F6" s="47"/>
      <c r="G6" s="47"/>
      <c r="H6" s="48" t="s">
        <v>115</v>
      </c>
      <c r="I6" s="48"/>
      <c r="J6" s="8">
        <v>750000</v>
      </c>
      <c r="K6" s="8"/>
      <c r="L6" s="8">
        <v>750000</v>
      </c>
      <c r="M6" s="8"/>
      <c r="N6" s="8"/>
      <c r="O6" s="37" t="s">
        <v>120</v>
      </c>
      <c r="P6" s="29"/>
    </row>
    <row r="7" spans="2:16" ht="89.25" x14ac:dyDescent="0.2">
      <c r="B7" s="64" t="s">
        <v>116</v>
      </c>
      <c r="C7" s="64" t="s">
        <v>117</v>
      </c>
      <c r="D7" s="23" t="s">
        <v>127</v>
      </c>
      <c r="E7" s="27" t="s">
        <v>125</v>
      </c>
      <c r="F7" s="47"/>
      <c r="G7" s="47"/>
      <c r="H7" s="48" t="s">
        <v>118</v>
      </c>
      <c r="I7" s="48"/>
      <c r="J7" s="8">
        <v>1000000</v>
      </c>
      <c r="K7" s="8">
        <v>500000</v>
      </c>
      <c r="L7" s="8">
        <v>500000</v>
      </c>
      <c r="M7" s="8"/>
      <c r="N7" s="8"/>
      <c r="O7" s="37" t="s">
        <v>121</v>
      </c>
      <c r="P7" s="29"/>
    </row>
    <row r="8" spans="2:16" ht="51" x14ac:dyDescent="0.2">
      <c r="B8" s="65"/>
      <c r="C8" s="65"/>
      <c r="D8" s="23" t="s">
        <v>126</v>
      </c>
      <c r="E8" s="27" t="s">
        <v>124</v>
      </c>
      <c r="F8" s="47"/>
      <c r="G8" s="47"/>
      <c r="H8" s="48" t="s">
        <v>123</v>
      </c>
      <c r="I8" s="48"/>
      <c r="J8" s="8">
        <v>350000</v>
      </c>
      <c r="K8" s="8"/>
      <c r="L8" s="8">
        <v>350000</v>
      </c>
      <c r="M8" s="8"/>
      <c r="N8" s="8"/>
      <c r="O8" s="37" t="s">
        <v>122</v>
      </c>
      <c r="P8" s="29"/>
    </row>
    <row r="9" spans="2:16" x14ac:dyDescent="0.2">
      <c r="B9" s="23"/>
      <c r="C9" s="23"/>
      <c r="D9" s="23"/>
      <c r="E9" s="27"/>
      <c r="F9" s="47"/>
      <c r="G9" s="47"/>
      <c r="H9" s="48"/>
      <c r="I9" s="48"/>
      <c r="J9" s="8"/>
      <c r="K9" s="8"/>
      <c r="L9" s="8"/>
      <c r="M9" s="8"/>
      <c r="N9" s="8"/>
      <c r="O9" s="37"/>
      <c r="P9" s="29"/>
    </row>
    <row r="10" spans="2:16" x14ac:dyDescent="0.2">
      <c r="B10" s="23"/>
      <c r="C10" s="23"/>
      <c r="D10" s="23"/>
      <c r="E10" s="27"/>
      <c r="F10" s="47"/>
      <c r="G10" s="47"/>
      <c r="H10" s="48"/>
      <c r="I10" s="48"/>
      <c r="J10" s="8"/>
      <c r="K10" s="8"/>
      <c r="L10" s="8"/>
      <c r="M10" s="8"/>
      <c r="N10" s="8"/>
      <c r="O10" s="37"/>
      <c r="P10" s="29"/>
    </row>
    <row r="11" spans="2:16" x14ac:dyDescent="0.2">
      <c r="B11" s="23"/>
      <c r="C11" s="23"/>
      <c r="D11" s="23"/>
      <c r="E11" s="27"/>
      <c r="F11" s="47"/>
      <c r="G11" s="47"/>
      <c r="H11" s="48"/>
      <c r="I11" s="48"/>
      <c r="J11" s="8"/>
      <c r="K11" s="8"/>
      <c r="L11" s="8"/>
      <c r="M11" s="8"/>
      <c r="N11" s="8"/>
      <c r="O11" s="37"/>
      <c r="P11" s="29"/>
    </row>
    <row r="12" spans="2:16" x14ac:dyDescent="0.2">
      <c r="B12" s="23"/>
      <c r="C12" s="23"/>
      <c r="D12" s="23"/>
      <c r="E12" s="47"/>
      <c r="F12" s="47"/>
      <c r="G12" s="47"/>
      <c r="H12" s="48"/>
      <c r="I12" s="48"/>
      <c r="J12" s="8"/>
      <c r="K12" s="8"/>
      <c r="L12" s="8"/>
      <c r="M12" s="8"/>
      <c r="N12" s="8"/>
      <c r="O12" s="28"/>
      <c r="P12" s="29"/>
    </row>
    <row r="13" spans="2:16" x14ac:dyDescent="0.2">
      <c r="B13" s="46"/>
      <c r="C13" s="46"/>
      <c r="D13" s="46"/>
      <c r="E13" s="47" t="s">
        <v>9</v>
      </c>
      <c r="F13" s="47"/>
      <c r="G13" s="47"/>
      <c r="H13" s="48"/>
      <c r="I13" s="17"/>
      <c r="J13" s="8">
        <f>K13+L13+M13+N13</f>
        <v>0</v>
      </c>
      <c r="K13" s="8">
        <v>0</v>
      </c>
      <c r="L13" s="8">
        <v>0</v>
      </c>
      <c r="M13" s="8"/>
      <c r="N13" s="8">
        <v>0</v>
      </c>
      <c r="O13" s="46"/>
      <c r="P13" s="47"/>
    </row>
    <row r="14" spans="2:16" x14ac:dyDescent="0.2">
      <c r="B14" s="11"/>
      <c r="C14" s="11"/>
      <c r="D14" s="11"/>
      <c r="E14" s="44"/>
      <c r="F14" s="44"/>
      <c r="G14" s="44"/>
      <c r="H14" s="11"/>
      <c r="I14" s="11"/>
      <c r="J14" s="12">
        <f>SUM(J5:J13)</f>
        <v>12100000</v>
      </c>
      <c r="K14" s="12">
        <f>SUM(K5:K13)</f>
        <v>500000</v>
      </c>
      <c r="L14" s="12">
        <f>SUM(L5:L13)</f>
        <v>6600000</v>
      </c>
      <c r="M14" s="12">
        <f>SUM(M5:M13)</f>
        <v>2500000</v>
      </c>
      <c r="N14" s="12">
        <f>SUM(N5:N13)</f>
        <v>2500000</v>
      </c>
      <c r="O14" s="8"/>
      <c r="P14" s="7"/>
    </row>
  </sheetData>
  <mergeCells count="12">
    <mergeCell ref="B1:P1"/>
    <mergeCell ref="B7:B8"/>
    <mergeCell ref="C7:C8"/>
    <mergeCell ref="B2:P2"/>
    <mergeCell ref="B3:B4"/>
    <mergeCell ref="C3:C4"/>
    <mergeCell ref="D3:E3"/>
    <mergeCell ref="F3:G4"/>
    <mergeCell ref="H3:H4"/>
    <mergeCell ref="I3:I4"/>
    <mergeCell ref="J3:N3"/>
    <mergeCell ref="O3:P3"/>
  </mergeCells>
  <pageMargins left="0.70866141732283472" right="0.70866141732283472" top="0.94488188976377963" bottom="0.15748031496062992" header="0.31496062992125984" footer="0.31496062992125984"/>
  <pageSetup paperSize="5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Litbang</vt:lpstr>
      <vt:lpstr>2017</vt:lpstr>
      <vt:lpstr>KERAMAS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Krisostomus Nova Rahmanto</cp:lastModifiedBy>
  <cp:lastPrinted>2016-02-13T07:05:04Z</cp:lastPrinted>
  <dcterms:created xsi:type="dcterms:W3CDTF">2016-01-21T16:27:21Z</dcterms:created>
  <dcterms:modified xsi:type="dcterms:W3CDTF">2019-02-05T03:56:07Z</dcterms:modified>
</cp:coreProperties>
</file>