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Project\Dewan Paroki Pugeran\"/>
    </mc:Choice>
  </mc:AlternateContent>
  <bookViews>
    <workbookView xWindow="240" yWindow="105" windowWidth="20250" windowHeight="8460"/>
  </bookViews>
  <sheets>
    <sheet name="Visioner" sheetId="1" r:id="rId1"/>
    <sheet name="Anggaran" sheetId="2" r:id="rId2"/>
    <sheet name="Sheet3" sheetId="3" r:id="rId3"/>
  </sheets>
  <calcPr calcId="162913"/>
</workbook>
</file>

<file path=xl/calcChain.xml><?xml version="1.0" encoding="utf-8"?>
<calcChain xmlns="http://schemas.openxmlformats.org/spreadsheetml/2006/main">
  <c r="M12" i="1" l="1"/>
  <c r="L12" i="1"/>
  <c r="K12" i="1"/>
  <c r="J12" i="1"/>
  <c r="I12" i="1"/>
  <c r="H12" i="1"/>
  <c r="C6" i="2" l="1"/>
  <c r="C18" i="2"/>
</calcChain>
</file>

<file path=xl/sharedStrings.xml><?xml version="1.0" encoding="utf-8"?>
<sst xmlns="http://schemas.openxmlformats.org/spreadsheetml/2006/main" count="56" uniqueCount="52">
  <si>
    <t>SASARAN STRATEGIS</t>
  </si>
  <si>
    <t>TOTAL BIAYA</t>
  </si>
  <si>
    <t>SWADAYA</t>
  </si>
  <si>
    <t>PAROKI</t>
  </si>
  <si>
    <t>SUBD KAS</t>
  </si>
  <si>
    <t>PENANGGUNG JAWAB</t>
  </si>
  <si>
    <t>DONATUR</t>
  </si>
  <si>
    <t>SUMBER DANA</t>
  </si>
  <si>
    <t>.</t>
  </si>
  <si>
    <t>KON PST</t>
  </si>
  <si>
    <t xml:space="preserve">   PAROKI</t>
  </si>
  <si>
    <t xml:space="preserve">   OUTCOMES</t>
  </si>
  <si>
    <t xml:space="preserve">   MILESTONE</t>
  </si>
  <si>
    <t>ASUMSI</t>
  </si>
  <si>
    <t>RISIKO</t>
  </si>
  <si>
    <t>ASUMSI DAN RISIKO</t>
  </si>
  <si>
    <t>INDIKATOR DAN TARGET</t>
  </si>
  <si>
    <t xml:space="preserve">INDIKATOR </t>
  </si>
  <si>
    <t>TARGET</t>
  </si>
  <si>
    <t>KEGIATAN UTAMA</t>
  </si>
  <si>
    <t>Terselenggara sosialisasi/pelatihan</t>
  </si>
  <si>
    <t>RENCANA ANGGARAN</t>
  </si>
  <si>
    <t>biaya rapat</t>
  </si>
  <si>
    <t>Persiapan pelatihan</t>
  </si>
  <si>
    <t xml:space="preserve"> </t>
  </si>
  <si>
    <t>Pembuatan modul 3 kali</t>
  </si>
  <si>
    <t>rapat tim 1 kali</t>
  </si>
  <si>
    <t>honor pembuatan Modul</t>
  </si>
  <si>
    <t>Indek peserta 90</t>
  </si>
  <si>
    <t>materi, bigdrop, konsumsi</t>
  </si>
  <si>
    <t>B. II.2. Kaum Awam
B.II.2.1
Kaum awam yang semakin sadar akan hakekat panggilannya di tengah masyarakat untuk menyucikan dunia berdasarkan permandian yang telah diterima
B.II.2.2
Kaum awam yang dibekali dengan berbagai ketrampilan pelayanan pastoral
B.III.2.2
Awam dan petugas pastoral dipersiapkan memiliki karakter tangguh, kematangan pribadi, berintegritas tinggi dan siap menerima tugas sesuai prioritas Gereja</t>
  </si>
  <si>
    <t>Tersedianya tim sosialisasi dan narasumber pelatihan panggilan kaum awam di tengah masyarakat</t>
  </si>
  <si>
    <t>1. C.II.2.1
    Semakin banyak awam yang terlibat dalam organisasi masyarakat yang terkait dengan urusan hidup bersama(publik) serta kepengurusan RT/RW
2. C.II.2.3
    Semakin banyak paroki yang mengadakan pembekalan kepada awam: para pemuka jemaat, katekis, tokoh masyarakat, kaum perempuan, dan  
    kelompok-kelompok khusus
3. C.III.2.2
    Meningkatnya pelatihan-pelatihan awam dalamketerlibatan sosial, politik dan kebudayaan</t>
  </si>
  <si>
    <t>WAKTU 
PELAKSANAAN</t>
  </si>
  <si>
    <t>Meningkatnya pengetahuan dan militansi pelayanan pastoral bagi tokoh masyarakat(pengurus RT, RW, pedukuhan)</t>
  </si>
  <si>
    <t>1. Tersedianya data tokoh 
    RT. RW, pedukuhan
2. Terbentuk Tim dan  
    modul pembekalan  
    ketrampilan pelayanan 
    pastoral bagi tokoh 
    masyarakat</t>
  </si>
  <si>
    <t>1 kali pembekalan, diikuti 
75% dari tokoh masyarakat terdata</t>
  </si>
  <si>
    <t xml:space="preserve">1. Kompetensi SDM, 
    yang mampu tidak mau, 
    yang mau tidak mampu
</t>
  </si>
  <si>
    <t xml:space="preserve">1. Tersedianya SDM
2. Tersedia data aktivis
3. Peran kaum awam di  
    terima di tengah 
    masyarakat
</t>
  </si>
  <si>
    <t>Meningkatnya kesadaran dan ketrampilan awam dalam keterlibatan sosial</t>
  </si>
  <si>
    <t>1. Dimilikinya tim pelatihan
2. Tersusun modul pelatihan 
    karakter tangguh, 
    kematangan pribadi, 
    berintegritas tinggi dan 
    siap menerima tugas 
    dalam keterlibatan sosial, 
    politik dan kebudayaan
3. Terselenggaranya 
    pelatihan karakter 
    tangguh, kematangan 
    pribadi, berintegritas 
    tinggi dan siap menerima 
    tugas dalam keterlibatan 
    sosial</t>
  </si>
  <si>
    <t xml:space="preserve">1. Tim pemberi pelatihan 
    dan penyusun modul  
    minimal 5 orang
2. Tersedia modul
3. 1 x Pelatihan 
    pengembangan 
    kepribadian, diikuti 3 
    orang/lingkungan
</t>
  </si>
  <si>
    <t>HATI KUDUS TUHAN YESUS PUGERAN/TIMJA KERAMAS</t>
  </si>
  <si>
    <t>1. Terbentuk tim dengan 
    anggota 5 orang
2. Terbentuk tim pelatihan 
    minimal 45 orang
3. Narasumber dan modul
4. Minimal 2 x pelatihan
5. Tersedia data calon 
    tokoh</t>
  </si>
  <si>
    <t>1. Tersedianya SDM
2. Tersedia data aktivis
3. Peran kaum awam di  
    terima di tengah 
    masyarakat
4. Tersedianya tim
5. Tersedianya narasumber
6. Adanya modul</t>
  </si>
  <si>
    <t>Rapat-rapat (pembentukan tim, penyusunan modul, persiapan pelatihan/sosialisasi) Terselenggara sosialisasi 2 kali @ 45 orang</t>
  </si>
  <si>
    <t>Rapat persiapan pelatihan, menghubungi narasumber, penyusunan jadwal dan materi, pelaksanaan pelatihan 1 kali 2 hari 100 orang</t>
  </si>
  <si>
    <t>Rapat-rapat (pembentukan tim tindak lanjut pelatihan kader yang telah menerima pelatihan pembekalan ketrampilan pelayanan pastoral), pelatihan 1 kali 2 hari 50 orang</t>
  </si>
  <si>
    <t>September 2017</t>
  </si>
  <si>
    <t>Oktober 2017</t>
  </si>
  <si>
    <t>RENCANA KEGIATAN VISIONER 2018
PAROKI HATI KUDUS TUHAN YESUS PUGERAN</t>
  </si>
  <si>
    <r>
      <rPr>
        <b/>
        <sz val="9"/>
        <rFont val="Times New Roman"/>
        <family val="1"/>
      </rPr>
      <t>Timja Keramas</t>
    </r>
    <r>
      <rPr>
        <sz val="9"/>
        <rFont val="Times New Roman"/>
        <family val="1"/>
      </rPr>
      <t xml:space="preserve">
Timja HAK
Timja Promosi Panggilan
Timja IPP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</si>
</sst>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1" formatCode="_-* #,##0_-;\-* #,##0_-;_-* &quot;-&quot;_-;_-@_-"/>
    <numFmt numFmtId="164" formatCode="[$-421]dd\ mmmm\ yyyy;@"/>
  </numFmts>
  <fonts count="11" x14ac:knownFonts="1">
    <font>
      <sz val="11"/>
      <color theme="1"/>
      <name val="Calibri"/>
      <family val="2"/>
      <scheme val="minor"/>
    </font>
    <font>
      <sz val="11"/>
      <color theme="1"/>
      <name val="Calibri"/>
      <family val="2"/>
      <scheme val="minor"/>
    </font>
    <font>
      <b/>
      <sz val="14"/>
      <name val="Times New Roman"/>
      <family val="1"/>
    </font>
    <font>
      <sz val="11"/>
      <name val="Times New Roman"/>
      <family val="1"/>
    </font>
    <font>
      <b/>
      <sz val="9"/>
      <name val="Times New Roman"/>
      <family val="1"/>
    </font>
    <font>
      <sz val="9"/>
      <name val="Times New Roman"/>
      <family val="1"/>
    </font>
    <font>
      <sz val="11"/>
      <name val="Calibri"/>
      <family val="2"/>
      <scheme val="minor"/>
    </font>
    <font>
      <i/>
      <sz val="9"/>
      <name val="Times New Roman"/>
      <family val="1"/>
    </font>
    <font>
      <b/>
      <sz val="8"/>
      <name val="Times New Roman"/>
      <family val="1"/>
    </font>
    <font>
      <sz val="8"/>
      <name val="Times New Roman"/>
      <family val="1"/>
    </font>
    <font>
      <i/>
      <sz val="11"/>
      <name val="Times New Roman"/>
      <family val="1"/>
    </font>
  </fonts>
  <fills count="3">
    <fill>
      <patternFill patternType="none"/>
    </fill>
    <fill>
      <patternFill patternType="gray125"/>
    </fill>
    <fill>
      <patternFill patternType="solid">
        <fgColor theme="6"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s>
  <cellStyleXfs count="2">
    <xf numFmtId="0" fontId="0" fillId="0" borderId="0"/>
    <xf numFmtId="41" fontId="1" fillId="0" borderId="0" applyFont="0" applyFill="0" applyBorder="0" applyAlignment="0" applyProtection="0"/>
  </cellStyleXfs>
  <cellXfs count="35">
    <xf numFmtId="0" fontId="0" fillId="0" borderId="0" xfId="0"/>
    <xf numFmtId="41" fontId="0" fillId="0" borderId="0" xfId="1" applyFont="1"/>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horizontal="left" vertical="center"/>
    </xf>
    <xf numFmtId="0" fontId="5" fillId="0" borderId="0" xfId="0" applyFont="1" applyAlignment="1">
      <alignment vertical="center"/>
    </xf>
    <xf numFmtId="0" fontId="6" fillId="0" borderId="0" xfId="0" applyFont="1" applyAlignment="1">
      <alignment vertical="center"/>
    </xf>
    <xf numFmtId="0" fontId="7" fillId="0" borderId="0" xfId="0" applyFont="1" applyAlignment="1">
      <alignment horizontal="left" vertical="center"/>
    </xf>
    <xf numFmtId="0" fontId="9" fillId="0" borderId="0" xfId="0" applyFont="1" applyAlignment="1">
      <alignment vertical="center" wrapText="1"/>
    </xf>
    <xf numFmtId="0" fontId="8" fillId="0" borderId="1" xfId="0" applyFont="1" applyBorder="1" applyAlignment="1">
      <alignment horizontal="center" vertical="center" wrapText="1"/>
    </xf>
    <xf numFmtId="0" fontId="5" fillId="0" borderId="1" xfId="0" applyFont="1" applyBorder="1" applyAlignment="1">
      <alignment vertical="center" wrapText="1"/>
    </xf>
    <xf numFmtId="0" fontId="5" fillId="2" borderId="1" xfId="0" applyFont="1" applyFill="1" applyBorder="1" applyAlignment="1">
      <alignment vertical="center" wrapText="1"/>
    </xf>
    <xf numFmtId="164" fontId="5" fillId="2" borderId="1" xfId="0" applyNumberFormat="1" applyFont="1" applyFill="1" applyBorder="1" applyAlignment="1">
      <alignment horizontal="center" vertical="center"/>
    </xf>
    <xf numFmtId="41" fontId="5" fillId="2" borderId="1" xfId="1" applyFont="1" applyFill="1" applyBorder="1" applyAlignment="1">
      <alignment vertical="center"/>
    </xf>
    <xf numFmtId="0" fontId="5" fillId="0" borderId="3" xfId="0" applyFont="1" applyBorder="1" applyAlignment="1">
      <alignment vertical="center" wrapText="1"/>
    </xf>
    <xf numFmtId="0" fontId="5" fillId="0" borderId="1" xfId="0" applyFont="1" applyBorder="1" applyAlignment="1">
      <alignment vertical="center"/>
    </xf>
    <xf numFmtId="0" fontId="5" fillId="2" borderId="1" xfId="0" applyFont="1" applyFill="1" applyBorder="1" applyAlignment="1">
      <alignment vertical="center"/>
    </xf>
    <xf numFmtId="0" fontId="5" fillId="0" borderId="3" xfId="0" applyFont="1" applyBorder="1" applyAlignment="1">
      <alignment vertical="center"/>
    </xf>
    <xf numFmtId="17" fontId="5" fillId="2" borderId="1" xfId="0" quotePrefix="1" applyNumberFormat="1" applyFont="1" applyFill="1" applyBorder="1" applyAlignment="1">
      <alignment vertical="center"/>
    </xf>
    <xf numFmtId="0" fontId="5" fillId="2" borderId="1" xfId="0" quotePrefix="1" applyFont="1" applyFill="1" applyBorder="1" applyAlignment="1">
      <alignment vertical="center"/>
    </xf>
    <xf numFmtId="20" fontId="5" fillId="0" borderId="1" xfId="0" applyNumberFormat="1" applyFont="1" applyBorder="1" applyAlignment="1">
      <alignment vertical="center"/>
    </xf>
    <xf numFmtId="41" fontId="5" fillId="0" borderId="1" xfId="0" applyNumberFormat="1" applyFont="1" applyBorder="1" applyAlignment="1">
      <alignment vertical="center"/>
    </xf>
    <xf numFmtId="0" fontId="5" fillId="0" borderId="4" xfId="0" applyFont="1" applyBorder="1" applyAlignment="1">
      <alignment vertical="center"/>
    </xf>
    <xf numFmtId="0" fontId="5" fillId="0" borderId="5" xfId="0" applyFont="1" applyBorder="1" applyAlignment="1">
      <alignment vertical="center"/>
    </xf>
    <xf numFmtId="0" fontId="10" fillId="0" borderId="0" xfId="0" applyFont="1" applyAlignment="1">
      <alignment vertical="center"/>
    </xf>
    <xf numFmtId="0" fontId="5" fillId="0" borderId="6" xfId="0" applyFont="1" applyBorder="1" applyAlignment="1">
      <alignment vertical="center" wrapText="1"/>
    </xf>
    <xf numFmtId="0" fontId="6" fillId="0" borderId="0" xfId="0" applyFont="1" applyAlignment="1">
      <alignment vertical="center"/>
    </xf>
    <xf numFmtId="0" fontId="5" fillId="0" borderId="0" xfId="0" applyFont="1" applyAlignment="1">
      <alignment horizontal="left" vertical="center"/>
    </xf>
    <xf numFmtId="0" fontId="6" fillId="0" borderId="0" xfId="0" applyFont="1" applyAlignment="1">
      <alignment horizontal="left" vertical="center"/>
    </xf>
    <xf numFmtId="0" fontId="2" fillId="0" borderId="0" xfId="0" applyFont="1" applyAlignment="1">
      <alignment horizontal="center" vertical="center" wrapText="1"/>
    </xf>
    <xf numFmtId="0" fontId="2" fillId="0" borderId="0" xfId="0" applyFont="1" applyAlignment="1">
      <alignment horizontal="center" vertical="center"/>
    </xf>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0" fillId="0" borderId="0" xfId="0" applyAlignment="1"/>
  </cellXfs>
  <cellStyles count="2">
    <cellStyle name="Comma [0]" xfId="1" builtinId="6"/>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
  <sheetViews>
    <sheetView tabSelected="1" zoomScale="87" zoomScaleNormal="87" workbookViewId="0">
      <selection activeCell="J3" sqref="J3"/>
    </sheetView>
  </sheetViews>
  <sheetFormatPr defaultRowHeight="15" x14ac:dyDescent="0.25"/>
  <cols>
    <col min="1" max="1" width="23.7109375" style="2" customWidth="1"/>
    <col min="2" max="2" width="20" style="2" customWidth="1"/>
    <col min="3" max="3" width="19" style="2" customWidth="1"/>
    <col min="4" max="6" width="20.7109375" style="2" customWidth="1"/>
    <col min="7" max="7" width="16.85546875" style="2" customWidth="1"/>
    <col min="8" max="8" width="12" style="2" customWidth="1"/>
    <col min="9" max="13" width="10.28515625" style="2" customWidth="1"/>
    <col min="14" max="14" width="14.5703125" style="2" customWidth="1"/>
    <col min="15" max="16384" width="9.140625" style="2"/>
  </cols>
  <sheetData>
    <row r="1" spans="1:15" ht="46.5" customHeight="1" x14ac:dyDescent="0.25">
      <c r="A1" s="29" t="s">
        <v>50</v>
      </c>
      <c r="B1" s="30"/>
      <c r="C1" s="30"/>
      <c r="D1" s="30"/>
      <c r="E1" s="30"/>
      <c r="F1" s="30"/>
      <c r="G1" s="30"/>
      <c r="H1" s="30"/>
      <c r="I1" s="30"/>
      <c r="J1" s="30"/>
      <c r="K1" s="30"/>
      <c r="L1" s="30"/>
      <c r="M1" s="30"/>
      <c r="N1" s="30"/>
    </row>
    <row r="2" spans="1:15" s="5" customFormat="1" ht="19.5" customHeight="1" x14ac:dyDescent="0.25">
      <c r="A2" s="3" t="s">
        <v>10</v>
      </c>
      <c r="B2" s="27" t="s">
        <v>42</v>
      </c>
      <c r="C2" s="28"/>
      <c r="D2" s="28"/>
      <c r="E2" s="28"/>
      <c r="F2" s="28"/>
      <c r="G2" s="4"/>
      <c r="H2" s="4"/>
      <c r="I2" s="4"/>
      <c r="J2" s="4"/>
    </row>
    <row r="3" spans="1:15" s="5" customFormat="1" ht="110.25" customHeight="1" x14ac:dyDescent="0.25">
      <c r="A3" s="3" t="s">
        <v>11</v>
      </c>
      <c r="B3" s="25" t="s">
        <v>30</v>
      </c>
      <c r="C3" s="26"/>
      <c r="D3" s="26"/>
      <c r="E3" s="26"/>
      <c r="F3" s="26"/>
      <c r="G3" s="6"/>
      <c r="H3" s="6"/>
      <c r="I3" s="7"/>
      <c r="J3" s="7"/>
    </row>
    <row r="4" spans="1:15" s="5" customFormat="1" ht="103.5" customHeight="1" thickBot="1" x14ac:dyDescent="0.3">
      <c r="A4" s="3" t="s">
        <v>12</v>
      </c>
      <c r="B4" s="25" t="s">
        <v>32</v>
      </c>
      <c r="C4" s="26"/>
      <c r="D4" s="26"/>
      <c r="E4" s="26"/>
      <c r="F4" s="26"/>
      <c r="G4" s="7"/>
      <c r="H4" s="7"/>
      <c r="I4" s="7"/>
      <c r="J4" s="7"/>
    </row>
    <row r="5" spans="1:15" s="8" customFormat="1" ht="15" customHeight="1" x14ac:dyDescent="0.25">
      <c r="A5" s="31" t="s">
        <v>0</v>
      </c>
      <c r="B5" s="31" t="s">
        <v>16</v>
      </c>
      <c r="C5" s="31"/>
      <c r="D5" s="31" t="s">
        <v>15</v>
      </c>
      <c r="E5" s="31"/>
      <c r="F5" s="31" t="s">
        <v>19</v>
      </c>
      <c r="G5" s="31" t="s">
        <v>33</v>
      </c>
      <c r="H5" s="31" t="s">
        <v>1</v>
      </c>
      <c r="I5" s="31" t="s">
        <v>7</v>
      </c>
      <c r="J5" s="31"/>
      <c r="K5" s="31"/>
      <c r="L5" s="31"/>
      <c r="M5" s="31"/>
      <c r="N5" s="32" t="s">
        <v>5</v>
      </c>
    </row>
    <row r="6" spans="1:15" s="8" customFormat="1" ht="11.25" x14ac:dyDescent="0.25">
      <c r="A6" s="31"/>
      <c r="B6" s="9" t="s">
        <v>17</v>
      </c>
      <c r="C6" s="9" t="s">
        <v>18</v>
      </c>
      <c r="D6" s="9" t="s">
        <v>13</v>
      </c>
      <c r="E6" s="9" t="s">
        <v>14</v>
      </c>
      <c r="F6" s="31"/>
      <c r="G6" s="31"/>
      <c r="H6" s="31"/>
      <c r="I6" s="9" t="s">
        <v>2</v>
      </c>
      <c r="J6" s="9" t="s">
        <v>3</v>
      </c>
      <c r="K6" s="9" t="s">
        <v>4</v>
      </c>
      <c r="L6" s="9" t="s">
        <v>9</v>
      </c>
      <c r="M6" s="9" t="s">
        <v>6</v>
      </c>
      <c r="N6" s="33"/>
      <c r="O6" s="8" t="s">
        <v>8</v>
      </c>
    </row>
    <row r="7" spans="1:15" ht="108" x14ac:dyDescent="0.25">
      <c r="A7" s="10" t="s">
        <v>31</v>
      </c>
      <c r="B7" s="10" t="s">
        <v>20</v>
      </c>
      <c r="C7" s="10" t="s">
        <v>43</v>
      </c>
      <c r="D7" s="11" t="s">
        <v>38</v>
      </c>
      <c r="E7" s="11" t="s">
        <v>37</v>
      </c>
      <c r="F7" s="11" t="s">
        <v>45</v>
      </c>
      <c r="G7" s="12">
        <v>42960</v>
      </c>
      <c r="H7" s="13">
        <v>2700000</v>
      </c>
      <c r="I7" s="13"/>
      <c r="J7" s="13">
        <v>1200000</v>
      </c>
      <c r="K7" s="13">
        <v>1500000</v>
      </c>
      <c r="L7" s="13"/>
      <c r="M7" s="13"/>
      <c r="N7" s="14" t="s">
        <v>51</v>
      </c>
    </row>
    <row r="8" spans="1:15" x14ac:dyDescent="0.25">
      <c r="A8" s="15"/>
      <c r="B8" s="15"/>
      <c r="C8" s="15"/>
      <c r="D8" s="16"/>
      <c r="E8" s="16"/>
      <c r="F8" s="16"/>
      <c r="G8" s="16"/>
      <c r="H8" s="16"/>
      <c r="I8" s="16"/>
      <c r="J8" s="16"/>
      <c r="K8" s="16"/>
      <c r="L8" s="16"/>
      <c r="M8" s="16"/>
      <c r="N8" s="17"/>
    </row>
    <row r="9" spans="1:15" ht="97.5" customHeight="1" x14ac:dyDescent="0.25">
      <c r="A9" s="10" t="s">
        <v>34</v>
      </c>
      <c r="B9" s="10" t="s">
        <v>35</v>
      </c>
      <c r="C9" s="10" t="s">
        <v>36</v>
      </c>
      <c r="D9" s="11" t="s">
        <v>44</v>
      </c>
      <c r="E9" s="16"/>
      <c r="F9" s="11" t="s">
        <v>46</v>
      </c>
      <c r="G9" s="18" t="s">
        <v>48</v>
      </c>
      <c r="H9" s="13">
        <v>6000000</v>
      </c>
      <c r="I9" s="13"/>
      <c r="J9" s="13">
        <v>3000000</v>
      </c>
      <c r="K9" s="13">
        <v>3000000</v>
      </c>
      <c r="L9" s="13"/>
      <c r="M9" s="13"/>
      <c r="N9" s="14" t="s">
        <v>51</v>
      </c>
    </row>
    <row r="10" spans="1:15" x14ac:dyDescent="0.25">
      <c r="A10" s="15"/>
      <c r="B10" s="15"/>
      <c r="C10" s="15"/>
      <c r="D10" s="16"/>
      <c r="E10" s="16"/>
      <c r="F10" s="16"/>
      <c r="G10" s="16"/>
      <c r="H10" s="16"/>
      <c r="I10" s="16"/>
      <c r="J10" s="16"/>
      <c r="K10" s="16"/>
      <c r="L10" s="16"/>
      <c r="M10" s="16"/>
      <c r="N10" s="17"/>
    </row>
    <row r="11" spans="1:15" ht="200.25" customHeight="1" x14ac:dyDescent="0.25">
      <c r="A11" s="10" t="s">
        <v>39</v>
      </c>
      <c r="B11" s="10" t="s">
        <v>40</v>
      </c>
      <c r="C11" s="10" t="s">
        <v>41</v>
      </c>
      <c r="D11" s="11" t="s">
        <v>44</v>
      </c>
      <c r="E11" s="16"/>
      <c r="F11" s="11" t="s">
        <v>47</v>
      </c>
      <c r="G11" s="19" t="s">
        <v>49</v>
      </c>
      <c r="H11" s="13">
        <v>3000000</v>
      </c>
      <c r="I11" s="13"/>
      <c r="J11" s="13">
        <v>1500000</v>
      </c>
      <c r="K11" s="13">
        <v>150000</v>
      </c>
      <c r="L11" s="13"/>
      <c r="M11" s="13"/>
      <c r="N11" s="14" t="s">
        <v>51</v>
      </c>
    </row>
    <row r="12" spans="1:15" x14ac:dyDescent="0.25">
      <c r="A12" s="15"/>
      <c r="B12" s="20" t="s">
        <v>24</v>
      </c>
      <c r="C12" s="15"/>
      <c r="D12" s="15"/>
      <c r="E12" s="15"/>
      <c r="F12" s="15"/>
      <c r="G12" s="15"/>
      <c r="H12" s="21">
        <f>H11+H9+H7</f>
        <v>11700000</v>
      </c>
      <c r="I12" s="21">
        <f t="shared" ref="I12:M12" si="0">I11+I9+I7</f>
        <v>0</v>
      </c>
      <c r="J12" s="21">
        <f t="shared" si="0"/>
        <v>5700000</v>
      </c>
      <c r="K12" s="21">
        <f t="shared" si="0"/>
        <v>4650000</v>
      </c>
      <c r="L12" s="21">
        <f t="shared" si="0"/>
        <v>0</v>
      </c>
      <c r="M12" s="21">
        <f t="shared" si="0"/>
        <v>0</v>
      </c>
      <c r="N12" s="17"/>
    </row>
    <row r="13" spans="1:15" ht="15.75" thickBot="1" x14ac:dyDescent="0.3">
      <c r="A13" s="22"/>
      <c r="B13" s="22"/>
      <c r="C13" s="22"/>
      <c r="D13" s="22"/>
      <c r="E13" s="22"/>
      <c r="F13" s="22"/>
      <c r="G13" s="22"/>
      <c r="H13" s="22"/>
      <c r="I13" s="22"/>
      <c r="J13" s="22"/>
      <c r="K13" s="22"/>
      <c r="L13" s="22"/>
      <c r="M13" s="22"/>
      <c r="N13" s="23"/>
    </row>
    <row r="14" spans="1:15" x14ac:dyDescent="0.25">
      <c r="A14" s="5"/>
      <c r="B14" s="5"/>
      <c r="C14" s="5"/>
      <c r="D14" s="5"/>
      <c r="E14" s="5"/>
      <c r="F14" s="5"/>
      <c r="G14" s="5"/>
      <c r="H14" s="5"/>
      <c r="I14" s="5"/>
      <c r="J14" s="5"/>
      <c r="K14" s="5"/>
      <c r="L14" s="5"/>
      <c r="M14" s="5"/>
      <c r="N14" s="5"/>
    </row>
    <row r="15" spans="1:15" x14ac:dyDescent="0.25">
      <c r="A15" s="24"/>
      <c r="B15" s="24"/>
    </row>
  </sheetData>
  <mergeCells count="12">
    <mergeCell ref="B4:F4"/>
    <mergeCell ref="B2:F2"/>
    <mergeCell ref="A1:N1"/>
    <mergeCell ref="B5:C5"/>
    <mergeCell ref="D5:E5"/>
    <mergeCell ref="I5:M5"/>
    <mergeCell ref="A5:A6"/>
    <mergeCell ref="F5:F6"/>
    <mergeCell ref="G5:G6"/>
    <mergeCell ref="H5:H6"/>
    <mergeCell ref="N5:N6"/>
    <mergeCell ref="B3:F3"/>
  </mergeCells>
  <pageMargins left="0.7" right="0.7" top="0.75" bottom="0.75" header="0.3" footer="0.3"/>
  <pageSetup orientation="landscape"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workbookViewId="0">
      <selection activeCell="G20" sqref="G20:G21"/>
    </sheetView>
  </sheetViews>
  <sheetFormatPr defaultRowHeight="15" x14ac:dyDescent="0.25"/>
  <cols>
    <col min="2" max="2" width="23.140625" customWidth="1"/>
    <col min="3" max="3" width="19.85546875" style="1" customWidth="1"/>
    <col min="6" max="6" width="27.42578125" customWidth="1"/>
  </cols>
  <sheetData>
    <row r="1" spans="1:6" x14ac:dyDescent="0.25">
      <c r="A1" s="34" t="s">
        <v>21</v>
      </c>
      <c r="B1" s="34"/>
      <c r="C1" s="34"/>
    </row>
    <row r="4" spans="1:6" x14ac:dyDescent="0.25">
      <c r="A4">
        <v>1</v>
      </c>
    </row>
    <row r="5" spans="1:6" x14ac:dyDescent="0.25">
      <c r="A5">
        <v>2</v>
      </c>
    </row>
    <row r="6" spans="1:6" x14ac:dyDescent="0.25">
      <c r="A6">
        <v>3</v>
      </c>
      <c r="B6" t="s">
        <v>28</v>
      </c>
      <c r="C6" s="1">
        <f>60000*90</f>
        <v>5400000</v>
      </c>
      <c r="F6" t="s">
        <v>29</v>
      </c>
    </row>
    <row r="7" spans="1:6" x14ac:dyDescent="0.25">
      <c r="A7">
        <v>4</v>
      </c>
      <c r="B7" t="s">
        <v>22</v>
      </c>
      <c r="C7" s="1">
        <v>250000</v>
      </c>
    </row>
    <row r="8" spans="1:6" x14ac:dyDescent="0.25">
      <c r="B8" t="s">
        <v>26</v>
      </c>
      <c r="C8" s="1" t="s">
        <v>24</v>
      </c>
    </row>
    <row r="9" spans="1:6" x14ac:dyDescent="0.25">
      <c r="B9" t="s">
        <v>25</v>
      </c>
    </row>
    <row r="10" spans="1:6" x14ac:dyDescent="0.25">
      <c r="B10" t="s">
        <v>23</v>
      </c>
    </row>
    <row r="11" spans="1:6" x14ac:dyDescent="0.25">
      <c r="A11">
        <v>5</v>
      </c>
      <c r="B11" t="s">
        <v>27</v>
      </c>
      <c r="C11" s="1">
        <v>1000000</v>
      </c>
    </row>
    <row r="18" spans="3:3" x14ac:dyDescent="0.25">
      <c r="C18" s="1">
        <f>SUM(C4:C17)</f>
        <v>6650000</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G21" sqref="G21"/>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Visioner</vt:lpstr>
      <vt:lpstr>Anggaran</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Krisostomus Nova Rahmanto</cp:lastModifiedBy>
  <dcterms:created xsi:type="dcterms:W3CDTF">2016-10-12T09:28:12Z</dcterms:created>
  <dcterms:modified xsi:type="dcterms:W3CDTF">2019-02-07T01:17:20Z</dcterms:modified>
</cp:coreProperties>
</file>